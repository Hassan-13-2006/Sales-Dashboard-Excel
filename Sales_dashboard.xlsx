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d84a8dc19c59d609/Desktop/PROJECTS/DATA ANALYTICS PROJECTS/Project1 SALES DASHBOARD EXCEL/"/>
    </mc:Choice>
  </mc:AlternateContent>
  <xr:revisionPtr revIDLastSave="4" documentId="8_{7C6FE444-7A20-4372-BE00-42C6280D2151}" xr6:coauthVersionLast="47" xr6:coauthVersionMax="47" xr10:uidLastSave="{957E6BE2-1287-4E34-B40F-962787A65A78}"/>
  <bookViews>
    <workbookView xWindow="-96" yWindow="0" windowWidth="14016" windowHeight="12336" activeTab="2" xr2:uid="{D2F969DF-77AA-4A9C-AFE6-DAA1ECBF8B22}"/>
  </bookViews>
  <sheets>
    <sheet name="Sales_Data" sheetId="1" r:id="rId1"/>
    <sheet name="Pivot_Analysis" sheetId="2" r:id="rId2"/>
    <sheet name="Dashboard" sheetId="3" r:id="rId3"/>
    <sheet name="Notes" sheetId="4" r:id="rId4"/>
  </sheets>
  <definedNames>
    <definedName name="Slicer_Category">#N/A</definedName>
    <definedName name="Slicer_Region">#N/A</definedName>
  </definedNames>
  <calcPr calcId="191029"/>
  <pivotCaches>
    <pivotCache cacheId="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3" l="1"/>
  <c r="F8" i="3"/>
  <c r="D8" i="3"/>
  <c r="B8" i="3"/>
</calcChain>
</file>

<file path=xl/sharedStrings.xml><?xml version="1.0" encoding="utf-8"?>
<sst xmlns="http://schemas.openxmlformats.org/spreadsheetml/2006/main" count="3074" uniqueCount="612">
  <si>
    <t>Order ID</t>
  </si>
  <si>
    <t>Order Date</t>
  </si>
  <si>
    <t>Customer Name</t>
  </si>
  <si>
    <t>Region</t>
  </si>
  <si>
    <t>State</t>
  </si>
  <si>
    <t>Category</t>
  </si>
  <si>
    <t>Product</t>
  </si>
  <si>
    <t>Quantity</t>
  </si>
  <si>
    <t>Unit Price</t>
  </si>
  <si>
    <t>Sales</t>
  </si>
  <si>
    <t>Cost</t>
  </si>
  <si>
    <t>profit</t>
  </si>
  <si>
    <t>ORD001</t>
  </si>
  <si>
    <t>ORD002</t>
  </si>
  <si>
    <t>ORD003</t>
  </si>
  <si>
    <t>ORD004</t>
  </si>
  <si>
    <t>ORD005</t>
  </si>
  <si>
    <t>Rahul Sharma</t>
  </si>
  <si>
    <t>Arjun Kumar</t>
  </si>
  <si>
    <t>Neha Patel</t>
  </si>
  <si>
    <t>South</t>
  </si>
  <si>
    <t>West</t>
  </si>
  <si>
    <t>North</t>
  </si>
  <si>
    <t>Karnataka</t>
  </si>
  <si>
    <t>Maharashtra</t>
  </si>
  <si>
    <t>Gujarat</t>
  </si>
  <si>
    <t>Delhi</t>
  </si>
  <si>
    <t>Furniture</t>
  </si>
  <si>
    <t>Electronics</t>
  </si>
  <si>
    <t>Office Chair</t>
  </si>
  <si>
    <t>Monitor</t>
  </si>
  <si>
    <t>Study Table</t>
  </si>
  <si>
    <t>Keyboard</t>
  </si>
  <si>
    <t>ORD006</t>
  </si>
  <si>
    <t>ORD007</t>
  </si>
  <si>
    <t>ORD008</t>
  </si>
  <si>
    <t>ORD009</t>
  </si>
  <si>
    <t>ORD010</t>
  </si>
  <si>
    <t>ORD011</t>
  </si>
  <si>
    <t>ORD012</t>
  </si>
  <si>
    <t>ORD013</t>
  </si>
  <si>
    <t>ORD014</t>
  </si>
  <si>
    <t>ORD015</t>
  </si>
  <si>
    <t>Sneha Rao</t>
  </si>
  <si>
    <t>Vikram Shah</t>
  </si>
  <si>
    <t>Aisha Khan</t>
  </si>
  <si>
    <t>Rohit Mehta</t>
  </si>
  <si>
    <t>Pooja Nair</t>
  </si>
  <si>
    <t>Karan Gupta</t>
  </si>
  <si>
    <t>Divya Rao</t>
  </si>
  <si>
    <t>Sameer Khan</t>
  </si>
  <si>
    <t>Anjali Singh</t>
  </si>
  <si>
    <t>Faisal Ahmed</t>
  </si>
  <si>
    <t>Kerala</t>
  </si>
  <si>
    <t>Uttar Pradesh</t>
  </si>
  <si>
    <t>Telangana</t>
  </si>
  <si>
    <t>Laptop</t>
  </si>
  <si>
    <t>Office Desk</t>
  </si>
  <si>
    <t>Mouse</t>
  </si>
  <si>
    <t>Bookshelf</t>
  </si>
  <si>
    <t>Headphones</t>
  </si>
  <si>
    <t>Sofa</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</si>
  <si>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</si>
  <si>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</si>
  <si>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</si>
  <si>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</si>
  <si>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</si>
  <si>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</si>
  <si>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</si>
  <si>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</si>
  <si>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</si>
  <si>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</si>
  <si>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</si>
  <si>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</si>
  <si>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</si>
  <si>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</si>
  <si>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</si>
  <si>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</si>
  <si>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</si>
  <si>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</si>
  <si>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</si>
  <si>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</si>
  <si>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</si>
  <si>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</si>
  <si>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</si>
  <si>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</si>
  <si>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</si>
  <si>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</si>
  <si>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</si>
  <si>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</si>
  <si>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</si>
  <si>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</si>
  <si>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</si>
  <si>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</si>
  <si>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</si>
  <si>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</si>
  <si>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</si>
  <si>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</si>
  <si>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</si>
  <si>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</si>
  <si>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</si>
  <si>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</si>
  <si>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</si>
  <si>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</si>
  <si>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</si>
  <si>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</si>
  <si>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</si>
  <si>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</si>
  <si>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</si>
  <si>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</si>
  <si>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</si>
  <si>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</si>
  <si>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</si>
  <si>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</si>
  <si>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</si>
  <si>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</si>
  <si>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</si>
  <si>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</si>
  <si>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</si>
  <si>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</si>
  <si>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</si>
  <si>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</si>
  <si>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</si>
  <si>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</si>
  <si>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</si>
  <si>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</si>
  <si>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</si>
  <si>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</si>
  <si>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</si>
  <si>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</si>
  <si>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</si>
  <si>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</si>
  <si>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</si>
  <si>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</si>
  <si>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</si>
  <si>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</si>
  <si>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</si>
  <si>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</si>
  <si>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</si>
  <si>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</si>
  <si>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</si>
  <si>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</si>
  <si>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</si>
  <si>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</si>
  <si>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</si>
  <si>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</si>
  <si>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</si>
  <si>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</si>
  <si>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</si>
  <si>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</si>
  <si>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</si>
  <si>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</si>
  <si>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</si>
  <si>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</si>
  <si>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</si>
  <si>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</si>
  <si>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</si>
  <si>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</si>
  <si>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</si>
  <si>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</si>
  <si>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</si>
  <si>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</si>
  <si>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</si>
  <si>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</si>
  <si>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</si>
  <si>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</si>
  <si>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</si>
  <si>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</si>
  <si>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</si>
  <si>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</si>
  <si>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</si>
  <si>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</si>
  <si>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</si>
  <si>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</si>
  <si>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</si>
  <si>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</si>
  <si>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</si>
  <si>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</si>
  <si>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</si>
  <si>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</si>
  <si>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</si>
  <si>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</si>
  <si>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</si>
  <si>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</si>
  <si>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</si>
  <si>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</si>
  <si>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</si>
  <si>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</si>
  <si>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</si>
  <si>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</si>
  <si>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</si>
  <si>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</si>
  <si>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</si>
  <si>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</si>
  <si>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</si>
  <si>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</si>
  <si>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</si>
  <si>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</si>
  <si>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</si>
  <si>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</si>
  <si>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</si>
  <si>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</si>
  <si>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</si>
  <si>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</si>
  <si>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</si>
  <si>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</si>
  <si>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</si>
  <si>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</si>
  <si>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</si>
  <si>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</si>
  <si>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</si>
  <si>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</si>
  <si>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</si>
  <si>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</si>
  <si>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</si>
  <si>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</si>
  <si>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</si>
  <si>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</si>
  <si>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</si>
  <si>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</si>
  <si>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</si>
  <si>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</si>
  <si>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</si>
  <si>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</si>
  <si>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</si>
  <si>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</si>
  <si>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</si>
  <si>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</si>
  <si>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</si>
  <si>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</si>
  <si>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</si>
  <si>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</si>
  <si>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</si>
  <si>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</si>
  <si>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</si>
  <si>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</si>
  <si>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</si>
  <si>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</si>
  <si>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</si>
  <si>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</si>
  <si>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</si>
  <si>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</si>
  <si>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</si>
  <si>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</si>
  <si>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</si>
  <si>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</si>
  <si>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</si>
  <si>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</si>
  <si>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</si>
  <si>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</si>
  <si>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</si>
  <si>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</si>
  <si>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</si>
  <si>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</si>
  <si>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</si>
  <si>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</si>
  <si>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</si>
  <si>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</si>
  <si>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</si>
  <si>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</si>
  <si>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</si>
  <si>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</si>
  <si>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</si>
  <si>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</si>
  <si>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</si>
  <si>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</si>
  <si>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</si>
  <si>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</si>
  <si>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</si>
  <si>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</si>
  <si>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</si>
  <si>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</si>
  <si>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</si>
  <si>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</si>
  <si>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</si>
  <si>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</si>
  <si>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</si>
  <si>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</si>
  <si>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</si>
  <si>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</si>
  <si>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</si>
  <si>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</si>
  <si>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</si>
  <si>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</si>
  <si>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</si>
  <si>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</si>
  <si>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</si>
  <si>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</si>
  <si>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</si>
  <si>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</si>
  <si>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</si>
  <si>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</si>
  <si>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</si>
  <si>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</si>
  <si>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</si>
  <si>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</si>
  <si>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</si>
  <si>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</si>
  <si>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</si>
  <si>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</si>
  <si>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</si>
  <si>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</si>
  <si>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</si>
  <si>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</si>
  <si>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</si>
  <si>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</si>
  <si>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</si>
  <si>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</si>
  <si>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</si>
  <si>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</si>
  <si>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</si>
  <si>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</si>
  <si>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</si>
  <si>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</si>
  <si>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</si>
  <si>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</si>
  <si>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</si>
  <si>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</si>
  <si>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</si>
  <si>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</si>
  <si>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</si>
  <si>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</si>
  <si>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</si>
  <si>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</si>
  <si>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</si>
  <si>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</si>
  <si>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</si>
  <si>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</si>
  <si>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</si>
  <si>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</si>
  <si>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</si>
  <si>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</si>
  <si>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</si>
  <si>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</si>
  <si>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</si>
  <si>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</si>
  <si>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</si>
  <si>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</si>
  <si>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</si>
  <si>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</si>
  <si>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</si>
  <si>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</si>
  <si>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</si>
  <si>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</si>
  <si>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</si>
  <si>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</si>
  <si>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</si>
  <si>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</si>
  <si>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</si>
  <si>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</si>
  <si>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</si>
  <si>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</si>
  <si>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</si>
  <si>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</si>
  <si>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</si>
  <si>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</si>
  <si>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</si>
  <si>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</si>
  <si>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</si>
  <si>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</si>
  <si>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</si>
  <si>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</si>
  <si>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</si>
  <si>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</si>
  <si>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</si>
  <si>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</si>
  <si>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</si>
  <si>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</si>
  <si>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</si>
  <si>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</si>
  <si>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</si>
  <si>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</si>
  <si>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</si>
  <si>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</si>
  <si>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</si>
  <si>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</si>
  <si>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</si>
  <si>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</si>
  <si>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</si>
  <si>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</si>
  <si>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</si>
  <si>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</si>
  <si>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</si>
  <si>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</si>
  <si>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</si>
  <si>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</si>
  <si>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</si>
  <si>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</si>
  <si>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</si>
  <si>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</si>
  <si>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</si>
  <si>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</si>
  <si>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</si>
  <si>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</si>
  <si>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</si>
  <si>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</si>
  <si>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</si>
  <si>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</si>
  <si>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</si>
  <si>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</si>
  <si>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</si>
  <si>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</si>
  <si>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</si>
  <si>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</si>
  <si>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</si>
  <si>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</si>
  <si>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</si>
  <si>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</si>
  <si>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</si>
  <si>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</si>
  <si>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</si>
  <si>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</si>
  <si>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</si>
  <si>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</si>
  <si>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</si>
  <si>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</si>
  <si>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</si>
  <si>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</si>
  <si>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</si>
  <si>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</si>
  <si>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</si>
  <si>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</si>
  <si>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</si>
  <si>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</si>
  <si>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</si>
  <si>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</si>
  <si>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</si>
  <si>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</si>
  <si>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</si>
  <si>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</si>
  <si>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</si>
  <si>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</si>
  <si>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</si>
  <si>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</si>
  <si>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</si>
  <si>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</si>
  <si>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</si>
  <si>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</si>
  <si>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</si>
  <si>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</si>
  <si>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</si>
  <si>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</si>
  <si>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</si>
  <si>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</si>
  <si>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</si>
  <si>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</si>
  <si>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</si>
  <si>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</si>
  <si>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</si>
  <si>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</si>
  <si>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</si>
  <si>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</si>
  <si>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</si>
  <si>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</si>
  <si>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</si>
  <si>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</si>
  <si>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</si>
  <si>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</si>
  <si>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</si>
  <si>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</si>
  <si>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</si>
  <si>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</si>
  <si>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</si>
  <si>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</si>
  <si>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</si>
  <si>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</si>
  <si>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</si>
  <si>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</si>
  <si>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</si>
  <si>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</si>
  <si>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</si>
  <si>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</si>
  <si>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</si>
  <si>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</si>
  <si>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</si>
  <si>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</si>
  <si>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</si>
  <si>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</si>
  <si>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</si>
  <si>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</si>
  <si>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</si>
  <si>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</si>
  <si>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</si>
  <si>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</si>
  <si>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</si>
  <si>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</si>
  <si>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</si>
  <si>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</si>
  <si>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</si>
  <si>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</si>
  <si>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</si>
  <si>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</si>
  <si>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</si>
  <si>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</si>
  <si>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</si>
  <si>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</si>
  <si>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</si>
  <si>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</si>
  <si>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</si>
  <si>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</si>
  <si>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</si>
  <si>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</si>
  <si>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</si>
  <si>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</si>
  <si>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</si>
  <si>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</si>
  <si>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</si>
  <si>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</si>
  <si>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</si>
  <si>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</si>
  <si>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</si>
  <si>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</si>
  <si>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</si>
  <si>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</si>
  <si>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</si>
  <si>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</si>
  <si>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</si>
  <si>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</si>
  <si>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</si>
  <si>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</si>
  <si>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</si>
  <si>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</si>
  <si>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</si>
  <si>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</si>
  <si>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</si>
  <si>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</si>
  <si>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</si>
  <si>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</si>
  <si>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</si>
  <si>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</si>
  <si>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</si>
  <si>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</si>
  <si>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</si>
  <si>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</si>
  <si>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</si>
  <si>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</si>
  <si>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</si>
  <si>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</si>
  <si>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</si>
  <si>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</si>
  <si>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</si>
  <si>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</si>
  <si>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</si>
  <si>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</si>
  <si>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</si>
  <si>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</si>
  <si>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</si>
  <si>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Sanjay Reddy</t>
  </si>
  <si>
    <t>Appliances</t>
  </si>
  <si>
    <t>Air Conditioner</t>
  </si>
  <si>
    <t>Tamil Nadu</t>
  </si>
  <si>
    <t>Accessories</t>
  </si>
  <si>
    <t>Webcam</t>
  </si>
  <si>
    <t>Office Supplies</t>
  </si>
  <si>
    <t>File Folder</t>
  </si>
  <si>
    <t>Amit Verma</t>
  </si>
  <si>
    <t>Haryana</t>
  </si>
  <si>
    <t>Calculator</t>
  </si>
  <si>
    <t>Power Bank</t>
  </si>
  <si>
    <t>Goa</t>
  </si>
  <si>
    <t>Stationery</t>
  </si>
  <si>
    <t>Diary</t>
  </si>
  <si>
    <t>Rajasthan</t>
  </si>
  <si>
    <t>Paper Pack</t>
  </si>
  <si>
    <t>Riya Kapoor</t>
  </si>
  <si>
    <t>East</t>
  </si>
  <si>
    <t>Jharkhand</t>
  </si>
  <si>
    <t>Marker Set</t>
  </si>
  <si>
    <t>Odisha</t>
  </si>
  <si>
    <t>Punjab</t>
  </si>
  <si>
    <t>Printer</t>
  </si>
  <si>
    <t>Bihar</t>
  </si>
  <si>
    <t>Air Cooler</t>
  </si>
  <si>
    <t>Meera Iyer</t>
  </si>
  <si>
    <t>Refrigerator</t>
  </si>
  <si>
    <t>Pen Set</t>
  </si>
  <si>
    <t>Aditya Joshi</t>
  </si>
  <si>
    <t>Stapler</t>
  </si>
  <si>
    <t>Microwave</t>
  </si>
  <si>
    <t>Phone Holder</t>
  </si>
  <si>
    <t>Laptop Stand</t>
  </si>
  <si>
    <t>Notebook</t>
  </si>
  <si>
    <t>West Bengal</t>
  </si>
  <si>
    <t>Nisha Malhotra</t>
  </si>
  <si>
    <t>Writing Pad</t>
  </si>
  <si>
    <t>USB Cable</t>
  </si>
  <si>
    <t>Water Purifier</t>
  </si>
  <si>
    <t>Priya Singh</t>
  </si>
  <si>
    <t>Row Labels</t>
  </si>
  <si>
    <t>Grand Total</t>
  </si>
  <si>
    <t>Sum of Sales</t>
  </si>
  <si>
    <t>Jan</t>
  </si>
  <si>
    <t>Feb</t>
  </si>
  <si>
    <t>Mar</t>
  </si>
  <si>
    <t>Apr</t>
  </si>
  <si>
    <t>May</t>
  </si>
  <si>
    <t>Jun</t>
  </si>
  <si>
    <t>Jul</t>
  </si>
  <si>
    <t>Aug</t>
  </si>
  <si>
    <t>Sep</t>
  </si>
  <si>
    <t>Oct</t>
  </si>
  <si>
    <t>Nov</t>
  </si>
  <si>
    <t>Dec</t>
  </si>
  <si>
    <t>Sum of profit</t>
  </si>
  <si>
    <t>Sum of Quantity</t>
  </si>
  <si>
    <t>Count of Order ID</t>
  </si>
  <si>
    <t>SALES DASHBOARD</t>
  </si>
  <si>
    <t>TOTAL SALES</t>
  </si>
  <si>
    <t>TOTAL PROFIT</t>
  </si>
  <si>
    <t>TOTAL ORDERS</t>
  </si>
  <si>
    <t>TOTAL QUANTITY</t>
  </si>
  <si>
    <t>Sales Performance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</si>
</sst>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0"/>
    <numFmt numFmtId="165" formatCode="[$-409]d\-mmm\-yyyy;@"/>
    <numFmt numFmtId="166" formatCode="\₹#,##0"/>
  </numFmts>
  <fonts count="10" x14ac:knownFonts="1">
    <font>
      <sz val="11"/>
      <color theme="1"/>
      <name val="Aptos Narrow"/>
      <family val="2"/>
      <scheme val="minor"/>
    </font>
    <font>
      <sz val="11"/>
      <color theme="1"/>
      <name val="Aptos Narrow"/>
      <family val="2"/>
      <scheme val="minor"/>
    </font>
    <font>
      <sz val="8"/>
      <name val="Aptos Narrow"/>
      <family val="2"/>
      <scheme val="minor"/>
    </font>
    <font>
      <sz val="11"/>
      <color theme="1"/>
      <name val="Calibri"/>
      <family val="2"/>
    </font>
    <font>
      <b/>
      <sz val="24"/>
      <color theme="0"/>
      <name val="Calibri"/>
      <family val="2"/>
    </font>
    <font>
      <i/>
      <sz val="11"/>
      <color theme="3" tint="0.249977111117893"/>
      <name val="Calibri"/>
      <family val="2"/>
    </font>
    <font>
      <b/>
      <sz val="14"/>
      <color theme="3" tint="0.249977111117893"/>
      <name val="Calibri"/>
      <family val="2"/>
    </font>
    <font>
      <sz val="11"/>
      <color theme="3" tint="0.249977111117893"/>
      <name val="Calibri"/>
      <family val="2"/>
    </font>
    <font>
      <b/>
      <sz val="14"/>
      <color theme="0"/>
      <name val="Calibri"/>
      <family val="2"/>
    </font>
    <font>
      <sz val="11"/>
      <color theme="0"/>
      <name val="Calibri"/>
      <family val="2"/>
    </font>
  </fonts>
  <fills count="5">
    <fill>
      <patternFill patternType="none"/>
    </fill>
    <fill>
      <patternFill patternType="gray125"/>
    </fill>
    <fill>
      <patternFill patternType="solid">
        <fgColor theme="2"/>
        <bgColor indexed="64"/>
      </patternFill>
    </fill>
    <fill>
      <patternFill patternType="solid">
        <fgColor theme="3" tint="0.249977111117893"/>
        <bgColor indexed="64"/>
      </patternFill>
    </fill>
    <fill>
      <patternFill patternType="solid">
        <fgColor theme="0"/>
        <bgColor indexed="64"/>
      </patternFill>
    </fill>
  </fills>
  <borders count="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44" fontId="1" fillId="0" borderId="0" applyFont="0" applyFill="0" applyBorder="0" applyAlignment="0" applyProtection="0"/>
  </cellStyleXfs>
  <cellXfs count="44">
    <xf numFmtId="0" fontId="0" fillId="0" borderId="0" xfId="0"/>
    <xf numFmtId="164" fontId="0" fillId="0" borderId="0" xfId="1" applyNumberFormat="1" applyFont="1"/>
    <xf numFmtId="1" fontId="0" fillId="0" borderId="0" xfId="0" applyNumberFormat="1"/>
    <xf numFmtId="165"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3" fillId="2" borderId="0" xfId="0" applyFont="1" applyFill="1"/>
    <xf numFmtId="0" fontId="4" fillId="3" borderId="1" xfId="0" applyFont="1" applyFill="1" applyBorder="1" applyAlignment="1">
      <alignment horizontal="center"/>
    </xf>
    <xf numFmtId="0" fontId="3" fillId="3" borderId="8" xfId="0" applyFont="1" applyFill="1" applyBorder="1" applyAlignment="1">
      <alignment horizontal="center"/>
    </xf>
    <xf numFmtId="0" fontId="3" fillId="2" borderId="2" xfId="0" applyFont="1" applyFill="1" applyBorder="1"/>
    <xf numFmtId="0" fontId="3" fillId="3" borderId="3" xfId="0" applyFont="1" applyFill="1" applyBorder="1" applyAlignment="1">
      <alignment horizontal="center"/>
    </xf>
    <xf numFmtId="0" fontId="3" fillId="3" borderId="0" xfId="0" applyFont="1" applyFill="1" applyBorder="1" applyAlignment="1">
      <alignment horizontal="center"/>
    </xf>
    <xf numFmtId="0" fontId="3" fillId="2" borderId="4" xfId="0" applyFont="1" applyFill="1" applyBorder="1"/>
    <xf numFmtId="0" fontId="5" fillId="2" borderId="5" xfId="0" applyFont="1" applyFill="1" applyBorder="1" applyAlignment="1">
      <alignment horizontal="center"/>
    </xf>
    <xf numFmtId="0" fontId="3" fillId="2" borderId="7" xfId="0" applyFont="1" applyFill="1" applyBorder="1" applyAlignment="1">
      <alignment horizontal="center"/>
    </xf>
    <xf numFmtId="0" fontId="3" fillId="2" borderId="6" xfId="0" applyFont="1" applyFill="1" applyBorder="1" applyAlignment="1">
      <alignment horizontal="center"/>
    </xf>
    <xf numFmtId="0" fontId="6" fillId="4" borderId="1" xfId="0" applyFont="1" applyFill="1" applyBorder="1" applyAlignment="1">
      <alignment horizontal="center"/>
    </xf>
    <xf numFmtId="0" fontId="3" fillId="4" borderId="2" xfId="0" applyFont="1" applyFill="1" applyBorder="1" applyAlignment="1">
      <alignment horizontal="center"/>
    </xf>
    <xf numFmtId="0" fontId="7" fillId="4" borderId="2" xfId="0" applyFont="1" applyFill="1" applyBorder="1" applyAlignment="1">
      <alignment horizontal="center"/>
    </xf>
    <xf numFmtId="0" fontId="3" fillId="4" borderId="3" xfId="0" applyFont="1" applyFill="1" applyBorder="1" applyAlignment="1">
      <alignment horizontal="center"/>
    </xf>
    <xf numFmtId="0" fontId="3" fillId="4" borderId="4" xfId="0" applyFont="1" applyFill="1" applyBorder="1" applyAlignment="1">
      <alignment horizontal="center"/>
    </xf>
    <xf numFmtId="0" fontId="7" fillId="4" borderId="3" xfId="0" applyFont="1" applyFill="1" applyBorder="1" applyAlignment="1">
      <alignment horizontal="center"/>
    </xf>
    <xf numFmtId="0" fontId="7" fillId="4" borderId="4" xfId="0" applyFont="1" applyFill="1" applyBorder="1" applyAlignment="1">
      <alignment horizontal="center"/>
    </xf>
    <xf numFmtId="0" fontId="3" fillId="4" borderId="5" xfId="0" applyFont="1" applyFill="1" applyBorder="1" applyAlignment="1">
      <alignment horizontal="center"/>
    </xf>
    <xf numFmtId="0" fontId="3" fillId="4" borderId="6" xfId="0" applyFont="1" applyFill="1" applyBorder="1" applyAlignment="1">
      <alignment horizontal="center"/>
    </xf>
    <xf numFmtId="0" fontId="7" fillId="4" borderId="5" xfId="0" applyFont="1" applyFill="1" applyBorder="1" applyAlignment="1">
      <alignment horizontal="center"/>
    </xf>
    <xf numFmtId="0" fontId="7" fillId="4" borderId="6" xfId="0" applyFont="1" applyFill="1" applyBorder="1" applyAlignment="1">
      <alignment horizontal="center"/>
    </xf>
    <xf numFmtId="166" fontId="8" fillId="3" borderId="1" xfId="0" applyNumberFormat="1" applyFont="1" applyFill="1" applyBorder="1" applyAlignment="1">
      <alignment horizontal="center"/>
    </xf>
    <xf numFmtId="166" fontId="9" fillId="3" borderId="2" xfId="0" applyNumberFormat="1" applyFont="1" applyFill="1" applyBorder="1" applyAlignment="1">
      <alignment horizontal="center"/>
    </xf>
    <xf numFmtId="0" fontId="8" fillId="3" borderId="1" xfId="0" applyFont="1" applyFill="1" applyBorder="1" applyAlignment="1">
      <alignment horizontal="center"/>
    </xf>
    <xf numFmtId="0" fontId="8" fillId="3" borderId="2" xfId="0" applyFont="1" applyFill="1" applyBorder="1" applyAlignment="1">
      <alignment horizontal="center"/>
    </xf>
    <xf numFmtId="3" fontId="8" fillId="3" borderId="1" xfId="0" applyNumberFormat="1" applyFont="1" applyFill="1" applyBorder="1" applyAlignment="1">
      <alignment horizontal="center"/>
    </xf>
    <xf numFmtId="166" fontId="9" fillId="3" borderId="5" xfId="0" applyNumberFormat="1" applyFont="1" applyFill="1" applyBorder="1" applyAlignment="1">
      <alignment horizontal="center"/>
    </xf>
    <xf numFmtId="166" fontId="9" fillId="3" borderId="6" xfId="0" applyNumberFormat="1" applyFont="1" applyFill="1" applyBorder="1" applyAlignment="1">
      <alignment horizontal="center"/>
    </xf>
    <xf numFmtId="0" fontId="8" fillId="3" borderId="5" xfId="0" applyFont="1" applyFill="1" applyBorder="1" applyAlignment="1">
      <alignment horizontal="center"/>
    </xf>
    <xf numFmtId="0" fontId="8" fillId="3" borderId="6" xfId="0" applyFont="1" applyFill="1" applyBorder="1" applyAlignment="1">
      <alignment horizontal="center"/>
    </xf>
    <xf numFmtId="0" fontId="3" fillId="2" borderId="3" xfId="0" applyFont="1" applyFill="1" applyBorder="1"/>
    <xf numFmtId="0" fontId="3" fillId="2" borderId="0" xfId="0" applyFont="1" applyFill="1" applyBorder="1"/>
    <xf numFmtId="0" fontId="3" fillId="2" borderId="5" xfId="0" applyFont="1" applyFill="1" applyBorder="1"/>
    <xf numFmtId="0" fontId="3" fillId="2" borderId="7" xfId="0" applyFont="1" applyFill="1" applyBorder="1"/>
    <xf numFmtId="0" fontId="3" fillId="2" borderId="6" xfId="0" applyFont="1" applyFill="1" applyBorder="1"/>
  </cellXfs>
  <cellStyles count="2">
    <cellStyle name="Currency" xfId="1" builtinId="4"/>
    <cellStyle name="Normal" xfId="0" builtinId="0"/>
  </cellStyles>
  <dxfs count="12">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 formatCode="0"/>
    </dxf>
    <dxf>
      <numFmt numFmtId="1" formatCode="0"/>
    </dxf>
    <dxf>
      <numFmt numFmtId="165" formatCode="[$-409]d\-mmm\-yyyy;@"/>
    </dxf>
    <dxf>
      <numFmt numFmtId="165" formatCode="[$-409]d\-m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lumOff val="25000"/>
                  </a:schemeClr>
                </a:solidFill>
              </a:rPr>
              <a:t>Monthly</a:t>
            </a:r>
            <a:r>
              <a:rPr lang="en-US" b="1" baseline="0">
                <a:solidFill>
                  <a:schemeClr val="tx2">
                    <a:lumMod val="75000"/>
                    <a:lumOff val="25000"/>
                  </a:schemeClr>
                </a:solidFill>
              </a:rPr>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Pivot_Analysis!$B$20</c:f>
              <c:strCache>
                <c:ptCount val="1"/>
                <c:pt idx="0">
                  <c:v>Total</c:v>
                </c:pt>
              </c:strCache>
            </c:strRef>
          </c:tx>
          <c:spPr>
            <a:ln w="28575" cap="rnd">
              <a:solidFill>
                <a:schemeClr val="accent1"/>
              </a:solidFill>
              <a:round/>
            </a:ln>
            <a:effectLst/>
          </c:spPr>
          <c:marker>
            <c:symbol val="none"/>
          </c:marker>
          <c:cat>
            <c:strRef>
              <c:f>Pivot_Analysis!$A$21:$A$33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Pivot_Analysis!$B$21:$B$33</c:f>
              <c:numCache>
                <c:formatCode>\₹#,##0</c:formatCode>
                <c:ptCount val="12"/>
                <c:pt idx="0">
                  <c:v>195550</c:v>
                </c:pt>
                <c:pt idx="1">
                  <c:v>737000</c:v>
                </c:pt>
                <c:pt idx="2">
                  <c:v>359000</c:v>
                </c:pt>
                <c:pt idx="3">
                  <c:v>839650</c:v>
                </c:pt>
                <c:pt idx="4">
                  <c:v>457150</c:v>
                </c:pt>
                <c:pt idx="5">
                  <c:v>514200</c:v>
                </c:pt>
                <c:pt idx="6">
                  <c:v>680500</c:v>
                </c:pt>
                <c:pt idx="7">
                  <c:v>801450</c:v>
                </c:pt>
                <c:pt idx="8">
                  <c:v>63500</c:v>
                </c:pt>
                <c:pt idx="9">
                  <c:v>963200</c:v>
                </c:pt>
                <c:pt idx="10">
                  <c:v>174450</c:v>
                </c:pt>
                <c:pt idx="11">
                  <c:v>363850</c:v>
                </c:pt>
              </c:numCache>
            </c:numRef>
          </c:val>
          <c:smooth val="0"/>
          <c:extLst>
            <c:ext xmlns:c16="http://schemas.microsoft.com/office/drawing/2014/chart" uri="{C3380CC4-5D6E-409C-BE32-E72D297353CC}">
              <c16:uniqueId val="{00000000-E97B-4EE0-BC9B-0ED03A53E1FA}"/>
            </c:ext>
          </c:extLst>
        </c:ser>
        <c:dLbls>
          <c:showLegendKey val="0"/>
          <c:showVal val="0"/>
          <c:showCatName val="0"/>
          <c:showSerName val="0"/>
          <c:showPercent val="0"/>
          <c:showBubbleSize val="0"/>
        </c:dLbls>
        <c:smooth val="0"/>
        <c:axId val="1672465215"/>
        <c:axId val="1359908591"/>
      </c:lineChart>
      <c:catAx>
        <c:axId val="167246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908591"/>
        <c:crosses val="autoZero"/>
        <c:auto val="1"/>
        <c:lblAlgn val="ctr"/>
        <c:lblOffset val="100"/>
        <c:noMultiLvlLbl val="0"/>
      </c:catAx>
      <c:valAx>
        <c:axId val="1359908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6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lumOff val="25000"/>
                  </a:schemeClr>
                </a:solidFill>
              </a:rPr>
              <a:t>Sales</a:t>
            </a:r>
            <a:r>
              <a:rPr lang="en-US" b="1" baseline="0">
                <a:solidFill>
                  <a:schemeClr val="tx2">
                    <a:lumMod val="75000"/>
                    <a:lumOff val="25000"/>
                  </a:schemeClr>
                </a:solidFill>
              </a:rPr>
              <a:t> By Category</a:t>
            </a:r>
            <a:endParaRPr lang="en-US"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Pivot_Analysis!$B$10</c:f>
              <c:strCache>
                <c:ptCount val="1"/>
                <c:pt idx="0">
                  <c:v>Total</c:v>
                </c:pt>
              </c:strCache>
            </c:strRef>
          </c:tx>
          <c:spPr>
            <a:solidFill>
              <a:schemeClr val="accent1"/>
            </a:solidFill>
            <a:ln>
              <a:noFill/>
            </a:ln>
            <a:effectLst/>
          </c:spPr>
          <c:invertIfNegative val="0"/>
          <c:cat>
            <c:strRef>
              <c:f>Pivot_Analysis!$A$11:$A$17</c:f>
              <c:strCache>
                <c:ptCount val="6"/>
                <c:pt idx="0">
                  <c:v>Appliances</c:v>
                </c:pt>
                <c:pt idx="1">
                  <c:v>Electronics</c:v>
                </c:pt>
                <c:pt idx="2">
                  <c:v>Office Supplies</c:v>
                </c:pt>
                <c:pt idx="3">
                  <c:v>Furniture</c:v>
                </c:pt>
                <c:pt idx="4">
                  <c:v>Accessories</c:v>
                </c:pt>
                <c:pt idx="5">
                  <c:v>Stationery</c:v>
                </c:pt>
              </c:strCache>
            </c:strRef>
          </c:cat>
          <c:val>
            <c:numRef>
              <c:f>Pivot_Analysis!$B$11:$B$17</c:f>
              <c:numCache>
                <c:formatCode>\₹#,##0</c:formatCode>
                <c:ptCount val="6"/>
                <c:pt idx="0">
                  <c:v>2640000</c:v>
                </c:pt>
                <c:pt idx="1">
                  <c:v>2190700</c:v>
                </c:pt>
                <c:pt idx="2">
                  <c:v>637900</c:v>
                </c:pt>
                <c:pt idx="3">
                  <c:v>538500</c:v>
                </c:pt>
                <c:pt idx="4">
                  <c:v>115300</c:v>
                </c:pt>
                <c:pt idx="5">
                  <c:v>27100</c:v>
                </c:pt>
              </c:numCache>
            </c:numRef>
          </c:val>
          <c:extLst>
            <c:ext xmlns:c16="http://schemas.microsoft.com/office/drawing/2014/chart" uri="{C3380CC4-5D6E-409C-BE32-E72D297353CC}">
              <c16:uniqueId val="{00000000-5A23-4722-ADFE-1CF9C75AD424}"/>
            </c:ext>
          </c:extLst>
        </c:ser>
        <c:dLbls>
          <c:showLegendKey val="0"/>
          <c:showVal val="0"/>
          <c:showCatName val="0"/>
          <c:showSerName val="0"/>
          <c:showPercent val="0"/>
          <c:showBubbleSize val="0"/>
        </c:dLbls>
        <c:gapWidth val="219"/>
        <c:overlap val="-27"/>
        <c:axId val="1673088447"/>
        <c:axId val="1359838031"/>
      </c:barChart>
      <c:catAx>
        <c:axId val="167308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838031"/>
        <c:crosses val="autoZero"/>
        <c:auto val="1"/>
        <c:lblAlgn val="ctr"/>
        <c:lblOffset val="100"/>
        <c:noMultiLvlLbl val="0"/>
      </c:catAx>
      <c:valAx>
        <c:axId val="13598380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08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[Sales_dashboard.xlsx]Pivot_Analysis!PivotTable5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lumOff val="25000"/>
                  </a:schemeClr>
                </a:solidFill>
              </a:rPr>
              <a:t>Profit</a:t>
            </a:r>
            <a:r>
              <a:rPr lang="en-US" b="1" baseline="0">
                <a:solidFill>
                  <a:schemeClr val="tx2">
                    <a:lumMod val="75000"/>
                    <a:lumOff val="25000"/>
                  </a:schemeClr>
                </a:solidFill>
              </a:rPr>
              <a:t> By Region</a:t>
            </a:r>
            <a:endParaRPr lang="en-US"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Pivot_Analysis!$B$35</c:f>
              <c:strCache>
                <c:ptCount val="1"/>
                <c:pt idx="0">
                  <c:v>Total</c:v>
                </c:pt>
              </c:strCache>
            </c:strRef>
          </c:tx>
          <c:spPr>
            <a:solidFill>
              <a:schemeClr val="accent1"/>
            </a:solidFill>
            <a:ln>
              <a:noFill/>
            </a:ln>
            <a:effectLst/>
          </c:spPr>
          <c:invertIfNegative val="0"/>
          <c:cat>
            <c:strRef>
              <c:f>Pivot_Analysis!$A$36:$A$37</c:f>
              <c:strCache>
                <c:ptCount val="1"/>
                <c:pt idx="0">
                  <c:v>West</c:v>
                </c:pt>
              </c:strCache>
            </c:strRef>
          </c:cat>
          <c:val>
            <c:numRef>
              <c:f>Pivot_Analysis!$B$36:$B$37</c:f>
              <c:numCache>
                <c:formatCode>\₹#,##0</c:formatCode>
                <c:ptCount val="1"/>
                <c:pt idx="0">
                  <c:v>1407486</c:v>
                </c:pt>
              </c:numCache>
            </c:numRef>
          </c:val>
          <c:extLst>
            <c:ext xmlns:c16="http://schemas.microsoft.com/office/drawing/2014/chart" uri="{C3380CC4-5D6E-409C-BE32-E72D297353CC}">
              <c16:uniqueId val="{00000000-CCD1-49B7-A617-2C67C64D28A0}"/>
            </c:ext>
          </c:extLst>
        </c:ser>
        <c:dLbls>
          <c:showLegendKey val="0"/>
          <c:showVal val="0"/>
          <c:showCatName val="0"/>
          <c:showSerName val="0"/>
          <c:showPercent val="0"/>
          <c:showBubbleSize val="0"/>
        </c:dLbls>
        <c:gapWidth val="219"/>
        <c:overlap val="-27"/>
        <c:axId val="1753450735"/>
        <c:axId val="1359906671"/>
      </c:barChart>
      <c:catAx>
        <c:axId val="175345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906671"/>
        <c:crosses val="autoZero"/>
        <c:auto val="1"/>
        <c:lblAlgn val="ctr"/>
        <c:lblOffset val="100"/>
        <c:noMultiLvlLbl val="0"/>
      </c:catAx>
      <c:valAx>
        <c:axId val="13599066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45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lumOff val="25000"/>
                  </a:schemeClr>
                </a:solidFill>
              </a:rPr>
              <a:t>Sales</a:t>
            </a:r>
            <a:r>
              <a:rPr lang="en-US" b="1" baseline="0">
                <a:solidFill>
                  <a:schemeClr val="tx2">
                    <a:lumMod val="75000"/>
                    <a:lumOff val="25000"/>
                  </a:schemeClr>
                </a:solidFill>
              </a:rPr>
              <a:t> By State</a:t>
            </a:r>
            <a:endParaRPr lang="en-US"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Pivot_Analysis!$B$50</c:f>
              <c:strCache>
                <c:ptCount val="1"/>
                <c:pt idx="0">
                  <c:v>Total</c:v>
                </c:pt>
              </c:strCache>
            </c:strRef>
          </c:tx>
          <c:spPr>
            <a:solidFill>
              <a:schemeClr val="accent1"/>
            </a:solidFill>
            <a:ln>
              <a:noFill/>
            </a:ln>
            <a:effectLst/>
          </c:spPr>
          <c:invertIfNegative val="0"/>
          <c:cat>
            <c:strRef>
              <c:f>Pivot_Analysis!$A$51:$A$55</c:f>
              <c:strCache>
                <c:ptCount val="4"/>
                <c:pt idx="0">
                  <c:v>Gujarat</c:v>
                </c:pt>
                <c:pt idx="1">
                  <c:v>Goa</c:v>
                </c:pt>
                <c:pt idx="2">
                  <c:v>Rajasthan</c:v>
                </c:pt>
                <c:pt idx="3">
                  <c:v>Maharashtra</c:v>
                </c:pt>
              </c:strCache>
            </c:strRef>
          </c:cat>
          <c:val>
            <c:numRef>
              <c:f>Pivot_Analysis!$B$51:$B$55</c:f>
              <c:numCache>
                <c:formatCode>\₹#,##0</c:formatCode>
                <c:ptCount val="4"/>
                <c:pt idx="0">
                  <c:v>1804500</c:v>
                </c:pt>
                <c:pt idx="1">
                  <c:v>1708100</c:v>
                </c:pt>
                <c:pt idx="2">
                  <c:v>1650150</c:v>
                </c:pt>
                <c:pt idx="3">
                  <c:v>986750</c:v>
                </c:pt>
              </c:numCache>
            </c:numRef>
          </c:val>
          <c:extLst>
            <c:ext xmlns:c16="http://schemas.microsoft.com/office/drawing/2014/chart" uri="{C3380CC4-5D6E-409C-BE32-E72D297353CC}">
              <c16:uniqueId val="{00000000-B93D-49EA-8B71-242FAEFD67F7}"/>
            </c:ext>
          </c:extLst>
        </c:ser>
        <c:dLbls>
          <c:showLegendKey val="0"/>
          <c:showVal val="0"/>
          <c:showCatName val="0"/>
          <c:showSerName val="0"/>
          <c:showPercent val="0"/>
          <c:showBubbleSize val="0"/>
        </c:dLbls>
        <c:gapWidth val="182"/>
        <c:axId val="1753438671"/>
        <c:axId val="1359907151"/>
      </c:barChart>
      <c:catAx>
        <c:axId val="1753438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907151"/>
        <c:crosses val="autoZero"/>
        <c:auto val="1"/>
        <c:lblAlgn val="ctr"/>
        <c:lblOffset val="100"/>
        <c:noMultiLvlLbl val="0"/>
      </c:catAx>
      <c:valAx>
        <c:axId val="135990715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43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lumOff val="25000"/>
                  </a:schemeClr>
                </a:solidFill>
              </a:rPr>
              <a:t>Top</a:t>
            </a:r>
            <a:r>
              <a:rPr lang="en-US" b="1" baseline="0">
                <a:solidFill>
                  <a:schemeClr val="tx2">
                    <a:lumMod val="75000"/>
                    <a:lumOff val="25000"/>
                  </a:schemeClr>
                </a:solidFill>
              </a:rPr>
              <a:t>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881155185790462"/>
          <c:y val="0.26328484981044037"/>
          <c:w val="0.48074889813301641"/>
          <c:h val="0.62968613298337706"/>
        </c:manualLayout>
      </c:layout>
      <c:barChart>
        <c:barDir val="bar"/>
        <c:grouping val="clustered"/>
        <c:varyColors val="0"/>
        <c:ser>
          <c:idx val="0"/>
          <c:order val="0"/>
          <c:tx>
            <c:strRef>
              <c:f>Pivot_Analysis!$K$1</c:f>
              <c:strCache>
                <c:ptCount val="1"/>
                <c:pt idx="0">
                  <c:v>Total</c:v>
                </c:pt>
              </c:strCache>
            </c:strRef>
          </c:tx>
          <c:spPr>
            <a:solidFill>
              <a:schemeClr val="accent1"/>
            </a:solidFill>
            <a:ln>
              <a:noFill/>
            </a:ln>
            <a:effectLst/>
          </c:spPr>
          <c:invertIfNegative val="0"/>
          <c:cat>
            <c:strRef>
              <c:f>Pivot_Analysis!$J$2:$J$12</c:f>
              <c:strCache>
                <c:ptCount val="10"/>
                <c:pt idx="0">
                  <c:v>Laptop</c:v>
                </c:pt>
                <c:pt idx="1">
                  <c:v>Refrigerator</c:v>
                </c:pt>
                <c:pt idx="2">
                  <c:v>Air Conditioner</c:v>
                </c:pt>
                <c:pt idx="3">
                  <c:v>Printer</c:v>
                </c:pt>
                <c:pt idx="4">
                  <c:v>Sofa</c:v>
                </c:pt>
                <c:pt idx="5">
                  <c:v>Microwave</c:v>
                </c:pt>
                <c:pt idx="6">
                  <c:v>Water Purifier</c:v>
                </c:pt>
                <c:pt idx="7">
                  <c:v>Monitor</c:v>
                </c:pt>
                <c:pt idx="8">
                  <c:v>Air Cooler</c:v>
                </c:pt>
                <c:pt idx="9">
                  <c:v>Keyboard</c:v>
                </c:pt>
              </c:strCache>
            </c:strRef>
          </c:cat>
          <c:val>
            <c:numRef>
              <c:f>Pivot_Analysis!$K$2:$K$12</c:f>
              <c:numCache>
                <c:formatCode>\₹#,##0</c:formatCode>
                <c:ptCount val="10"/>
                <c:pt idx="0">
                  <c:v>1870000</c:v>
                </c:pt>
                <c:pt idx="1">
                  <c:v>1190000</c:v>
                </c:pt>
                <c:pt idx="2">
                  <c:v>800000</c:v>
                </c:pt>
                <c:pt idx="3">
                  <c:v>600000</c:v>
                </c:pt>
                <c:pt idx="4">
                  <c:v>364000</c:v>
                </c:pt>
                <c:pt idx="5">
                  <c:v>336000</c:v>
                </c:pt>
                <c:pt idx="6">
                  <c:v>234000</c:v>
                </c:pt>
                <c:pt idx="7">
                  <c:v>168000</c:v>
                </c:pt>
                <c:pt idx="8">
                  <c:v>80000</c:v>
                </c:pt>
                <c:pt idx="9">
                  <c:v>64800</c:v>
                </c:pt>
              </c:numCache>
            </c:numRef>
          </c:val>
          <c:extLst>
            <c:ext xmlns:c16="http://schemas.microsoft.com/office/drawing/2014/chart" uri="{C3380CC4-5D6E-409C-BE32-E72D297353CC}">
              <c16:uniqueId val="{00000000-647D-4BB7-BE1A-68E0B77B6168}"/>
            </c:ext>
          </c:extLst>
        </c:ser>
        <c:dLbls>
          <c:showLegendKey val="0"/>
          <c:showVal val="0"/>
          <c:showCatName val="0"/>
          <c:showSerName val="0"/>
          <c:showPercent val="0"/>
          <c:showBubbleSize val="0"/>
        </c:dLbls>
        <c:gapWidth val="182"/>
        <c:axId val="1755423039"/>
        <c:axId val="1235588399"/>
      </c:barChart>
      <c:catAx>
        <c:axId val="1755423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88399"/>
        <c:crosses val="autoZero"/>
        <c:auto val="1"/>
        <c:lblAlgn val="ctr"/>
        <c:lblOffset val="100"/>
        <c:noMultiLvlLbl val="0"/>
      </c:catAx>
      <c:valAx>
        <c:axId val="12355883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42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0</xdr:rowOff>
    </xdr:from>
    <xdr:to>
      <xdr:col>8</xdr:col>
      <xdr:colOff>311021</xdr:colOff>
      <xdr:row>25</xdr:row>
      <xdr:rowOff>0</xdr:rowOff>
    </xdr:to>
    <xdr:graphicFrame macro="">
      <xdr:nvGraphicFramePr>
        <xdr:cNvPr id="2" name="Chart 1">
          <a:extLst>
            <a:ext uri="{FF2B5EF4-FFF2-40B4-BE49-F238E27FC236}">
              <a16:creationId xmlns:a16="http://schemas.microsoft.com/office/drawing/2014/main" id="{38FD5853-A0C9-4FE0-8D17-813AAAE30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10</xdr:row>
      <xdr:rowOff>0</xdr:rowOff>
    </xdr:from>
    <xdr:to>
      <xdr:col>16</xdr:col>
      <xdr:colOff>272143</xdr:colOff>
      <xdr:row>25</xdr:row>
      <xdr:rowOff>0</xdr:rowOff>
    </xdr:to>
    <xdr:graphicFrame macro="">
      <xdr:nvGraphicFramePr>
        <xdr:cNvPr id="3" name="Chart 2">
          <a:extLst>
            <a:ext uri="{FF2B5EF4-FFF2-40B4-BE49-F238E27FC236}">
              <a16:creationId xmlns:a16="http://schemas.microsoft.com/office/drawing/2014/main" id="{79326EF3-B968-4EB1-B014-D81781575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27</xdr:row>
      <xdr:rowOff>0</xdr:rowOff>
    </xdr:from>
    <xdr:to>
      <xdr:col>8</xdr:col>
      <xdr:colOff>326572</xdr:colOff>
      <xdr:row>41</xdr:row>
      <xdr:rowOff>130629</xdr:rowOff>
    </xdr:to>
    <xdr:graphicFrame macro="">
      <xdr:nvGraphicFramePr>
        <xdr:cNvPr id="4" name="Chart 3">
          <a:extLst>
            <a:ext uri="{FF2B5EF4-FFF2-40B4-BE49-F238E27FC236}">
              <a16:creationId xmlns:a16="http://schemas.microsoft.com/office/drawing/2014/main" id="{8096F7F8-0E64-4705-A8EC-5A4812533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27</xdr:row>
      <xdr:rowOff>0</xdr:rowOff>
    </xdr:from>
    <xdr:to>
      <xdr:col>16</xdr:col>
      <xdr:colOff>326571</xdr:colOff>
      <xdr:row>41</xdr:row>
      <xdr:rowOff>130629</xdr:rowOff>
    </xdr:to>
    <xdr:graphicFrame macro="">
      <xdr:nvGraphicFramePr>
        <xdr:cNvPr id="5" name="Chart 4">
          <a:extLst>
            <a:ext uri="{FF2B5EF4-FFF2-40B4-BE49-F238E27FC236}">
              <a16:creationId xmlns:a16="http://schemas.microsoft.com/office/drawing/2014/main" id="{F61747CB-43FC-4A04-804B-8872B8099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606489</xdr:colOff>
      <xdr:row>44</xdr:row>
      <xdr:rowOff>0</xdr:rowOff>
    </xdr:from>
    <xdr:to>
      <xdr:col>16</xdr:col>
      <xdr:colOff>295469</xdr:colOff>
      <xdr:row>58</xdr:row>
      <xdr:rowOff>130629</xdr:rowOff>
    </xdr:to>
    <xdr:graphicFrame macro="">
      <xdr:nvGraphicFramePr>
        <xdr:cNvPr id="6" name="Chart 5">
          <a:extLst>
            <a:ext uri="{FF2B5EF4-FFF2-40B4-BE49-F238E27FC236}">
              <a16:creationId xmlns:a16="http://schemas.microsoft.com/office/drawing/2014/main" id="{39782CC5-7EEF-487B-8966-755FAF55A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163175</xdr:colOff>
      <xdr:row>4</xdr:row>
      <xdr:rowOff>0</xdr:rowOff>
    </xdr:from>
    <xdr:to>
      <xdr:col>12</xdr:col>
      <xdr:colOff>39415</xdr:colOff>
      <xdr:row>9</xdr:row>
      <xdr:rowOff>39414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0EFF56EA-F167-6479-401B-6FF782B445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218354" y="707571"/>
              <a:ext cx="1713204" cy="923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39412</xdr:colOff>
      <xdr:row>3</xdr:row>
      <xdr:rowOff>163173</xdr:rowOff>
    </xdr:from>
    <xdr:to>
      <xdr:col>15</xdr:col>
      <xdr:colOff>564930</xdr:colOff>
      <xdr:row>9</xdr:row>
      <xdr:rowOff>39414</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9F0B4F2F-4AB1-B41D-BCF6-D41F4BDCEE4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543876" y="693852"/>
              <a:ext cx="1750161" cy="9375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US" refreshedDate="46302.806121875001" createdVersion="8" refreshedVersion="8" minRefreshableVersion="3" recordCount="523" xr:uid="{8B25B76A-B40C-4871-B7F7-52227299DBA8}">
  <cacheSource type="worksheet">
    <worksheetSource name="SalesTable"/>
  </cacheSource>
  <cacheFields count="13">
    <cacheField name="Order ID" numFmtId="0">
      <sharedItems containsBlank="1"/>
    </cacheField>
    <cacheField name="Order Date" numFmtId="165">
      <sharedItems containsNonDate="0" containsDate="1" containsString="0" containsBlank="1" minDate="2026-01-01T00:00:00" maxDate="2027-01-01T00:00:00" count="366">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m/>
      </sharedItems>
      <fieldGroup par="12"/>
    </cacheField>
    <cacheField name="Customer Name" numFmtId="0">
      <sharedItems containsBlank="1"/>
    </cacheField>
    <cacheField name="Region" numFmtId="0">
      <sharedItems containsBlank="1" count="5">
        <s v="East"/>
        <s v="North"/>
        <s v="South"/>
        <s v="West"/>
        <m/>
      </sharedItems>
    </cacheField>
    <cacheField name="State" numFmtId="0">
      <sharedItems containsBlank="1" count="17">
        <s v="Bihar"/>
        <s v="Haryana"/>
        <s v="Odisha"/>
        <s v="Jharkhand"/>
        <s v="Telangana"/>
        <s v="Punjab"/>
        <s v="Maharashtra"/>
        <s v="Karnataka"/>
        <s v="Kerala"/>
        <s v="Rajasthan"/>
        <s v="West Bengal"/>
        <s v="Gujarat"/>
        <s v="Tamil Nadu"/>
        <s v="Delhi"/>
        <s v="Uttar Pradesh"/>
        <s v="Goa"/>
        <m/>
      </sharedItems>
    </cacheField>
    <cacheField name="Category" numFmtId="0">
      <sharedItems containsBlank="1" count="7">
        <s v="Electronics"/>
        <s v="Appliances"/>
        <s v="Furniture"/>
        <s v="Accessories"/>
        <s v="Office Supplies"/>
        <s v="Stationery"/>
        <m/>
      </sharedItems>
    </cacheField>
    <cacheField name="Product" numFmtId="0">
      <sharedItems containsBlank="1" count="31">
        <s v="Mouse"/>
        <s v="Laptop"/>
        <s v="Water Purifier"/>
        <s v="Office Chair"/>
        <s v="Headphones"/>
        <s v="Power Bank"/>
        <s v="Stapler"/>
        <s v="Bookshelf"/>
        <s v="Marker Set"/>
        <s v="Printer"/>
        <s v="Writing Pad"/>
        <s v="Study Table"/>
        <s v="USB Cable"/>
        <s v="Air Cooler"/>
        <s v="File Folder"/>
        <s v="Sofa"/>
        <s v="Microwave"/>
        <s v="Air Conditioner"/>
        <s v="Phone Holder"/>
        <s v="Keyboard"/>
        <s v="Diary"/>
        <s v="Pen Set"/>
        <s v="Paper Pack"/>
        <s v="Laptop Stand"/>
        <s v="Webcam"/>
        <s v="Office Desk"/>
        <s v="Refrigerator"/>
        <s v="Notebook"/>
        <s v="Monitor"/>
        <s v="Calculator"/>
        <m/>
      </sharedItems>
    </cacheField>
    <cacheField name="Quantity" numFmtId="1">
      <sharedItems containsString="0" containsBlank="1" containsNumber="1" containsInteger="1" minValue="1" maxValue="8"/>
    </cacheField>
    <cacheField name="Unit Price" numFmtId="164">
      <sharedItems containsString="0" containsBlank="1" containsNumber="1" containsInteger="1" minValue="150" maxValue="55000"/>
    </cacheField>
    <cacheField name="Sales" numFmtId="164">
      <sharedItems containsString="0" containsBlank="1" containsNumber="1" containsInteger="1" minValue="150" maxValue="440000"/>
    </cacheField>
    <cacheField name="Cost" numFmtId="164">
      <sharedItems containsString="0" containsBlank="1" containsNumber="1" minValue="82.5" maxValue="360800"/>
    </cacheField>
    <cacheField name="profit" numFmtId="164">
      <sharedItems containsString="0" containsBlank="1" containsNumber="1" minValue="67.5" maxValue="79200"/>
    </cacheField>
    <cacheField name="Months (Order Date)"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4978037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3">
  <r>
    <s v="ORD001"/>
    <x v="0"/>
    <s v="Priya Singh"/>
    <x v="0"/>
    <x v="0"/>
    <x v="0"/>
    <x v="0"/>
    <n v="7"/>
    <n v="900"/>
    <n v="6300"/>
    <n v="5166"/>
    <n v="1134"/>
  </r>
  <r>
    <s v="ORD002"/>
    <x v="0"/>
    <s v="Riya Kapoor"/>
    <x v="1"/>
    <x v="1"/>
    <x v="0"/>
    <x v="1"/>
    <n v="8"/>
    <n v="55000"/>
    <n v="440000"/>
    <n v="360800"/>
    <n v="79200"/>
  </r>
  <r>
    <s v="ORD003"/>
    <x v="1"/>
    <s v="Sameer Khan"/>
    <x v="0"/>
    <x v="2"/>
    <x v="1"/>
    <x v="2"/>
    <n v="5"/>
    <n v="18000"/>
    <n v="90000"/>
    <n v="70200"/>
    <n v="19800"/>
  </r>
  <r>
    <s v="ORD004"/>
    <x v="2"/>
    <s v="Pooja Nair"/>
    <x v="0"/>
    <x v="3"/>
    <x v="2"/>
    <x v="3"/>
    <n v="7"/>
    <n v="4500"/>
    <n v="31500"/>
    <n v="22680"/>
    <n v="8820"/>
  </r>
  <r>
    <s v="ORD005"/>
    <x v="2"/>
    <s v="Arjun Kumar"/>
    <x v="0"/>
    <x v="0"/>
    <x v="0"/>
    <x v="0"/>
    <n v="3"/>
    <n v="900"/>
    <n v="2700"/>
    <n v="2214"/>
    <n v="486"/>
  </r>
  <r>
    <s v="ORD006"/>
    <x v="3"/>
    <s v="Sneha Rao"/>
    <x v="0"/>
    <x v="3"/>
    <x v="0"/>
    <x v="4"/>
    <n v="5"/>
    <n v="2500"/>
    <n v="12500"/>
    <n v="10250"/>
    <n v="2250"/>
  </r>
  <r>
    <s v="ORD007"/>
    <x v="4"/>
    <s v="Neha Patel"/>
    <x v="1"/>
    <x v="1"/>
    <x v="3"/>
    <x v="5"/>
    <n v="2"/>
    <n v="1500"/>
    <n v="3000"/>
    <n v="1800"/>
    <n v="1200"/>
  </r>
  <r>
    <s v="ORD008"/>
    <x v="5"/>
    <s v="Sanjay Reddy"/>
    <x v="2"/>
    <x v="4"/>
    <x v="2"/>
    <x v="3"/>
    <n v="8"/>
    <n v="4500"/>
    <n v="36000"/>
    <n v="25920"/>
    <n v="10080"/>
  </r>
  <r>
    <s v="ORD009"/>
    <x v="5"/>
    <s v="Vikram Shah"/>
    <x v="1"/>
    <x v="5"/>
    <x v="1"/>
    <x v="2"/>
    <n v="8"/>
    <n v="18000"/>
    <n v="144000"/>
    <n v="112320"/>
    <n v="31680"/>
  </r>
  <r>
    <s v="ORD010"/>
    <x v="6"/>
    <s v="Amit Verma"/>
    <x v="3"/>
    <x v="6"/>
    <x v="4"/>
    <x v="6"/>
    <n v="1"/>
    <n v="250"/>
    <n v="250"/>
    <n v="162.5"/>
    <n v="87.5"/>
  </r>
  <r>
    <s v="ORD011"/>
    <x v="7"/>
    <s v="Rohit Mehta"/>
    <x v="1"/>
    <x v="1"/>
    <x v="2"/>
    <x v="7"/>
    <n v="3"/>
    <n v="6500"/>
    <n v="19500"/>
    <n v="14040"/>
    <n v="5460"/>
  </r>
  <r>
    <s v="ORD012"/>
    <x v="8"/>
    <s v="Aditya Joshi"/>
    <x v="2"/>
    <x v="7"/>
    <x v="5"/>
    <x v="8"/>
    <n v="5"/>
    <n v="300"/>
    <n v="1500"/>
    <n v="825.00000000000011"/>
    <n v="674.99999999999989"/>
  </r>
  <r>
    <s v="ORD013"/>
    <x v="8"/>
    <s v="Anjali Singh"/>
    <x v="2"/>
    <x v="8"/>
    <x v="4"/>
    <x v="9"/>
    <n v="2"/>
    <n v="15000"/>
    <n v="30000"/>
    <n v="19500"/>
    <n v="10500"/>
  </r>
  <r>
    <s v="ORD014"/>
    <x v="9"/>
    <s v="Karan Gupta"/>
    <x v="1"/>
    <x v="5"/>
    <x v="1"/>
    <x v="2"/>
    <n v="6"/>
    <n v="18000"/>
    <n v="108000"/>
    <n v="84240"/>
    <n v="23760"/>
  </r>
  <r>
    <s v="ORD015"/>
    <x v="10"/>
    <s v="Riya Kapoor"/>
    <x v="2"/>
    <x v="7"/>
    <x v="5"/>
    <x v="10"/>
    <n v="7"/>
    <n v="250"/>
    <n v="1750"/>
    <n v="962.50000000000011"/>
    <n v="787.49999999999989"/>
  </r>
  <r>
    <s v="ORD016"/>
    <x v="10"/>
    <s v="Arjun Kumar"/>
    <x v="3"/>
    <x v="9"/>
    <x v="2"/>
    <x v="11"/>
    <n v="5"/>
    <n v="7500"/>
    <n v="37500"/>
    <n v="27000"/>
    <n v="10500"/>
  </r>
  <r>
    <s v="ORD017"/>
    <x v="11"/>
    <s v="Amit Verma"/>
    <x v="0"/>
    <x v="0"/>
    <x v="3"/>
    <x v="12"/>
    <n v="8"/>
    <n v="500"/>
    <n v="4000"/>
    <n v="2400"/>
    <n v="1600"/>
  </r>
  <r>
    <s v="ORD018"/>
    <x v="12"/>
    <s v="Priya Singh"/>
    <x v="2"/>
    <x v="4"/>
    <x v="1"/>
    <x v="13"/>
    <n v="2"/>
    <n v="8000"/>
    <n v="16000"/>
    <n v="12480"/>
    <n v="3520"/>
  </r>
  <r>
    <s v="ORD019"/>
    <x v="13"/>
    <s v="Sameer Khan"/>
    <x v="0"/>
    <x v="10"/>
    <x v="3"/>
    <x v="5"/>
    <n v="2"/>
    <n v="1500"/>
    <n v="3000"/>
    <n v="1800"/>
    <n v="1200"/>
  </r>
  <r>
    <s v="ORD020"/>
    <x v="13"/>
    <s v="Priya Singh"/>
    <x v="2"/>
    <x v="7"/>
    <x v="4"/>
    <x v="14"/>
    <n v="2"/>
    <n v="300"/>
    <n v="600"/>
    <n v="390"/>
    <n v="210"/>
  </r>
  <r>
    <s v="ORD021"/>
    <x v="14"/>
    <s v="Aditya Joshi"/>
    <x v="3"/>
    <x v="11"/>
    <x v="2"/>
    <x v="15"/>
    <n v="5"/>
    <n v="28000"/>
    <n v="140000"/>
    <n v="100800"/>
    <n v="39200"/>
  </r>
  <r>
    <s v="ORD022"/>
    <x v="15"/>
    <s v="Sneha Rao"/>
    <x v="0"/>
    <x v="3"/>
    <x v="1"/>
    <x v="16"/>
    <n v="7"/>
    <n v="12000"/>
    <n v="84000"/>
    <n v="65520"/>
    <n v="18480"/>
  </r>
  <r>
    <s v="ORD023"/>
    <x v="16"/>
    <s v="Anjali Singh"/>
    <x v="0"/>
    <x v="3"/>
    <x v="5"/>
    <x v="8"/>
    <n v="4"/>
    <n v="300"/>
    <n v="1200"/>
    <n v="660"/>
    <n v="540"/>
  </r>
  <r>
    <s v="ORD024"/>
    <x v="16"/>
    <s v="Vikram Shah"/>
    <x v="1"/>
    <x v="5"/>
    <x v="3"/>
    <x v="5"/>
    <n v="1"/>
    <n v="1500"/>
    <n v="1500"/>
    <n v="900"/>
    <n v="600"/>
  </r>
  <r>
    <s v="ORD025"/>
    <x v="17"/>
    <s v="Amit Verma"/>
    <x v="2"/>
    <x v="12"/>
    <x v="1"/>
    <x v="17"/>
    <n v="7"/>
    <n v="40000"/>
    <n v="280000"/>
    <n v="218400"/>
    <n v="61600"/>
  </r>
  <r>
    <s v="ORD026"/>
    <x v="18"/>
    <s v="Arjun Kumar"/>
    <x v="1"/>
    <x v="13"/>
    <x v="3"/>
    <x v="18"/>
    <n v="7"/>
    <n v="700"/>
    <n v="4900"/>
    <n v="2940"/>
    <n v="1960"/>
  </r>
  <r>
    <s v="ORD027"/>
    <x v="18"/>
    <s v="Aditya Joshi"/>
    <x v="2"/>
    <x v="7"/>
    <x v="0"/>
    <x v="19"/>
    <n v="4"/>
    <n v="1800"/>
    <n v="7200"/>
    <n v="5904"/>
    <n v="1296"/>
  </r>
  <r>
    <s v="ORD028"/>
    <x v="19"/>
    <s v="Faisal Ahmed"/>
    <x v="1"/>
    <x v="13"/>
    <x v="5"/>
    <x v="20"/>
    <n v="4"/>
    <n v="400"/>
    <n v="1600"/>
    <n v="880.00000000000011"/>
    <n v="719.99999999999989"/>
  </r>
  <r>
    <s v="ORD029"/>
    <x v="20"/>
    <s v="Sneha Rao"/>
    <x v="1"/>
    <x v="14"/>
    <x v="2"/>
    <x v="7"/>
    <n v="1"/>
    <n v="6500"/>
    <n v="6500"/>
    <n v="4680"/>
    <n v="1820"/>
  </r>
  <r>
    <s v="ORD030"/>
    <x v="21"/>
    <s v="Riya Kapoor"/>
    <x v="0"/>
    <x v="2"/>
    <x v="5"/>
    <x v="21"/>
    <n v="1"/>
    <n v="200"/>
    <n v="200"/>
    <n v="110.00000000000001"/>
    <n v="89.999999999999986"/>
  </r>
  <r>
    <s v="ORD031"/>
    <x v="21"/>
    <s v="Anjali Singh"/>
    <x v="1"/>
    <x v="1"/>
    <x v="4"/>
    <x v="22"/>
    <n v="7"/>
    <n v="500"/>
    <n v="3500"/>
    <n v="2275"/>
    <n v="1225"/>
  </r>
  <r>
    <s v="ORD032"/>
    <x v="22"/>
    <s v="Rohit Mehta"/>
    <x v="0"/>
    <x v="0"/>
    <x v="5"/>
    <x v="10"/>
    <n v="2"/>
    <n v="250"/>
    <n v="500"/>
    <n v="275"/>
    <n v="225"/>
  </r>
  <r>
    <s v="ORD033"/>
    <x v="23"/>
    <s v="Aisha Khan"/>
    <x v="3"/>
    <x v="11"/>
    <x v="5"/>
    <x v="20"/>
    <n v="8"/>
    <n v="400"/>
    <n v="3200"/>
    <n v="1760.0000000000002"/>
    <n v="1439.9999999999998"/>
  </r>
  <r>
    <s v="ORD034"/>
    <x v="24"/>
    <s v="Aisha Khan"/>
    <x v="1"/>
    <x v="13"/>
    <x v="5"/>
    <x v="10"/>
    <n v="4"/>
    <n v="250"/>
    <n v="1000"/>
    <n v="550"/>
    <n v="450"/>
  </r>
  <r>
    <s v="ORD035"/>
    <x v="24"/>
    <s v="Divya Rao"/>
    <x v="2"/>
    <x v="8"/>
    <x v="3"/>
    <x v="18"/>
    <n v="4"/>
    <n v="700"/>
    <n v="2800"/>
    <n v="1680"/>
    <n v="1120"/>
  </r>
  <r>
    <s v="ORD036"/>
    <x v="25"/>
    <s v="Sanjay Reddy"/>
    <x v="0"/>
    <x v="2"/>
    <x v="0"/>
    <x v="4"/>
    <n v="2"/>
    <n v="2500"/>
    <n v="5000"/>
    <n v="4100"/>
    <n v="900"/>
  </r>
  <r>
    <s v="ORD037"/>
    <x v="26"/>
    <s v="Amit Verma"/>
    <x v="3"/>
    <x v="9"/>
    <x v="5"/>
    <x v="10"/>
    <n v="8"/>
    <n v="250"/>
    <n v="2000"/>
    <n v="1100"/>
    <n v="900"/>
  </r>
  <r>
    <s v="ORD038"/>
    <x v="26"/>
    <s v="Meera Iyer"/>
    <x v="2"/>
    <x v="4"/>
    <x v="5"/>
    <x v="20"/>
    <n v="8"/>
    <n v="400"/>
    <n v="3200"/>
    <n v="1760.0000000000002"/>
    <n v="1439.9999999999998"/>
  </r>
  <r>
    <s v="ORD039"/>
    <x v="27"/>
    <s v="Divya Rao"/>
    <x v="0"/>
    <x v="3"/>
    <x v="1"/>
    <x v="2"/>
    <n v="1"/>
    <n v="18000"/>
    <n v="18000"/>
    <n v="14040"/>
    <n v="3960"/>
  </r>
  <r>
    <s v="ORD040"/>
    <x v="28"/>
    <s v="Vikram Shah"/>
    <x v="3"/>
    <x v="9"/>
    <x v="0"/>
    <x v="19"/>
    <n v="7"/>
    <n v="1800"/>
    <n v="12600"/>
    <n v="10332"/>
    <n v="2268"/>
  </r>
  <r>
    <s v="ORD041"/>
    <x v="29"/>
    <s v="Sameer Khan"/>
    <x v="0"/>
    <x v="2"/>
    <x v="2"/>
    <x v="15"/>
    <n v="2"/>
    <n v="28000"/>
    <n v="56000"/>
    <n v="40320"/>
    <n v="15680"/>
  </r>
  <r>
    <s v="ORD042"/>
    <x v="29"/>
    <s v="Anjali Singh"/>
    <x v="0"/>
    <x v="2"/>
    <x v="4"/>
    <x v="22"/>
    <n v="8"/>
    <n v="500"/>
    <n v="4000"/>
    <n v="2600"/>
    <n v="1400"/>
  </r>
  <r>
    <s v="ORD043"/>
    <x v="30"/>
    <s v="Aisha Khan"/>
    <x v="0"/>
    <x v="2"/>
    <x v="3"/>
    <x v="12"/>
    <n v="5"/>
    <n v="500"/>
    <n v="2500"/>
    <n v="1500"/>
    <n v="1000"/>
  </r>
  <r>
    <s v="ORD044"/>
    <x v="31"/>
    <s v="Aditya Joshi"/>
    <x v="3"/>
    <x v="11"/>
    <x v="3"/>
    <x v="23"/>
    <n v="3"/>
    <n v="1800"/>
    <n v="5400"/>
    <n v="3240"/>
    <n v="2160"/>
  </r>
  <r>
    <s v="ORD045"/>
    <x v="32"/>
    <s v="Vikram Shah"/>
    <x v="3"/>
    <x v="11"/>
    <x v="0"/>
    <x v="0"/>
    <n v="1"/>
    <n v="900"/>
    <n v="900"/>
    <n v="738"/>
    <n v="162"/>
  </r>
  <r>
    <s v="ORD046"/>
    <x v="32"/>
    <s v="Faisal Ahmed"/>
    <x v="1"/>
    <x v="13"/>
    <x v="2"/>
    <x v="3"/>
    <n v="3"/>
    <n v="4500"/>
    <n v="13500"/>
    <n v="9720"/>
    <n v="3780"/>
  </r>
  <r>
    <s v="ORD047"/>
    <x v="33"/>
    <s v="Neha Patel"/>
    <x v="3"/>
    <x v="15"/>
    <x v="3"/>
    <x v="24"/>
    <n v="3"/>
    <n v="2500"/>
    <n v="7500"/>
    <n v="4500"/>
    <n v="3000"/>
  </r>
  <r>
    <s v="ORD048"/>
    <x v="34"/>
    <s v="Meera Iyer"/>
    <x v="3"/>
    <x v="9"/>
    <x v="2"/>
    <x v="25"/>
    <n v="1"/>
    <n v="8500"/>
    <n v="8500"/>
    <n v="6120"/>
    <n v="2380"/>
  </r>
  <r>
    <s v="ORD049"/>
    <x v="35"/>
    <s v="Riya Kapoor"/>
    <x v="0"/>
    <x v="10"/>
    <x v="5"/>
    <x v="20"/>
    <n v="8"/>
    <n v="400"/>
    <n v="3200"/>
    <n v="1760.0000000000002"/>
    <n v="1439.9999999999998"/>
  </r>
  <r>
    <s v="ORD050"/>
    <x v="35"/>
    <s v="Rahul Sharma"/>
    <x v="0"/>
    <x v="2"/>
    <x v="4"/>
    <x v="6"/>
    <n v="1"/>
    <n v="250"/>
    <n v="250"/>
    <n v="162.5"/>
    <n v="87.5"/>
  </r>
  <r>
    <s v="ORD051"/>
    <x v="36"/>
    <s v="Pooja Nair"/>
    <x v="3"/>
    <x v="9"/>
    <x v="1"/>
    <x v="13"/>
    <n v="4"/>
    <n v="8000"/>
    <n v="32000"/>
    <n v="24960"/>
    <n v="7040"/>
  </r>
  <r>
    <s v="ORD052"/>
    <x v="37"/>
    <s v="Sameer Khan"/>
    <x v="1"/>
    <x v="5"/>
    <x v="2"/>
    <x v="11"/>
    <n v="6"/>
    <n v="7500"/>
    <n v="45000"/>
    <n v="32400"/>
    <n v="12600"/>
  </r>
  <r>
    <s v="ORD053"/>
    <x v="37"/>
    <s v="Riya Kapoor"/>
    <x v="2"/>
    <x v="8"/>
    <x v="0"/>
    <x v="1"/>
    <n v="4"/>
    <n v="55000"/>
    <n v="220000"/>
    <n v="180400"/>
    <n v="39600"/>
  </r>
  <r>
    <s v="ORD054"/>
    <x v="38"/>
    <s v="Riya Kapoor"/>
    <x v="1"/>
    <x v="13"/>
    <x v="1"/>
    <x v="13"/>
    <n v="1"/>
    <n v="8000"/>
    <n v="8000"/>
    <n v="6240"/>
    <n v="1760"/>
  </r>
  <r>
    <s v="ORD055"/>
    <x v="39"/>
    <s v="Vikram Shah"/>
    <x v="2"/>
    <x v="8"/>
    <x v="3"/>
    <x v="24"/>
    <n v="4"/>
    <n v="2500"/>
    <n v="10000"/>
    <n v="6000"/>
    <n v="4000"/>
  </r>
  <r>
    <s v="ORD056"/>
    <x v="40"/>
    <s v="Sanjay Reddy"/>
    <x v="1"/>
    <x v="1"/>
    <x v="3"/>
    <x v="23"/>
    <n v="5"/>
    <n v="1800"/>
    <n v="9000"/>
    <n v="5400"/>
    <n v="3600"/>
  </r>
  <r>
    <s v="ORD057"/>
    <x v="40"/>
    <s v="Priya Singh"/>
    <x v="2"/>
    <x v="12"/>
    <x v="3"/>
    <x v="12"/>
    <n v="6"/>
    <n v="500"/>
    <n v="3000"/>
    <n v="1800"/>
    <n v="1200"/>
  </r>
  <r>
    <s v="ORD058"/>
    <x v="41"/>
    <s v="Sneha Rao"/>
    <x v="3"/>
    <x v="6"/>
    <x v="4"/>
    <x v="9"/>
    <n v="1"/>
    <n v="15000"/>
    <n v="15000"/>
    <n v="9750"/>
    <n v="5250"/>
  </r>
  <r>
    <s v="ORD059"/>
    <x v="42"/>
    <s v="Amit Verma"/>
    <x v="2"/>
    <x v="12"/>
    <x v="0"/>
    <x v="4"/>
    <n v="4"/>
    <n v="2500"/>
    <n v="10000"/>
    <n v="8200"/>
    <n v="1800"/>
  </r>
  <r>
    <s v="ORD060"/>
    <x v="43"/>
    <s v="Karan Gupta"/>
    <x v="2"/>
    <x v="4"/>
    <x v="3"/>
    <x v="12"/>
    <n v="7"/>
    <n v="500"/>
    <n v="3500"/>
    <n v="2100"/>
    <n v="1400"/>
  </r>
  <r>
    <s v="ORD061"/>
    <x v="43"/>
    <s v="Meera Iyer"/>
    <x v="0"/>
    <x v="2"/>
    <x v="5"/>
    <x v="20"/>
    <n v="6"/>
    <n v="400"/>
    <n v="2400"/>
    <n v="1320"/>
    <n v="1080"/>
  </r>
  <r>
    <s v="ORD062"/>
    <x v="44"/>
    <s v="Nisha Malhotra"/>
    <x v="3"/>
    <x v="6"/>
    <x v="0"/>
    <x v="0"/>
    <n v="3"/>
    <n v="900"/>
    <n v="2700"/>
    <n v="2214"/>
    <n v="486"/>
  </r>
  <r>
    <s v="ORD063"/>
    <x v="45"/>
    <s v="Divya Rao"/>
    <x v="2"/>
    <x v="4"/>
    <x v="0"/>
    <x v="4"/>
    <n v="8"/>
    <n v="2500"/>
    <n v="20000"/>
    <n v="16400"/>
    <n v="3600"/>
  </r>
  <r>
    <s v="ORD064"/>
    <x v="45"/>
    <s v="Amit Verma"/>
    <x v="2"/>
    <x v="7"/>
    <x v="1"/>
    <x v="26"/>
    <n v="8"/>
    <n v="35000"/>
    <n v="280000"/>
    <n v="218400"/>
    <n v="61600"/>
  </r>
  <r>
    <s v="ORD065"/>
    <x v="46"/>
    <s v="Rahul Sharma"/>
    <x v="0"/>
    <x v="3"/>
    <x v="4"/>
    <x v="6"/>
    <n v="6"/>
    <n v="250"/>
    <n v="1500"/>
    <n v="975"/>
    <n v="525"/>
  </r>
  <r>
    <s v="ORD066"/>
    <x v="47"/>
    <s v="Faisal Ahmed"/>
    <x v="0"/>
    <x v="10"/>
    <x v="5"/>
    <x v="10"/>
    <n v="3"/>
    <n v="250"/>
    <n v="750"/>
    <n v="412.50000000000006"/>
    <n v="337.49999999999994"/>
  </r>
  <r>
    <s v="ORD067"/>
    <x v="48"/>
    <s v="Aisha Khan"/>
    <x v="1"/>
    <x v="5"/>
    <x v="4"/>
    <x v="9"/>
    <n v="5"/>
    <n v="15000"/>
    <n v="75000"/>
    <n v="48750"/>
    <n v="26250"/>
  </r>
  <r>
    <s v="ORD068"/>
    <x v="48"/>
    <s v="Riya Kapoor"/>
    <x v="2"/>
    <x v="8"/>
    <x v="5"/>
    <x v="20"/>
    <n v="7"/>
    <n v="400"/>
    <n v="2800"/>
    <n v="1540.0000000000002"/>
    <n v="1259.9999999999998"/>
  </r>
  <r>
    <s v="ORD069"/>
    <x v="49"/>
    <s v="Rohit Mehta"/>
    <x v="0"/>
    <x v="0"/>
    <x v="0"/>
    <x v="1"/>
    <n v="8"/>
    <n v="55000"/>
    <n v="440000"/>
    <n v="360800"/>
    <n v="79200"/>
  </r>
  <r>
    <s v="ORD070"/>
    <x v="50"/>
    <s v="Meera Iyer"/>
    <x v="0"/>
    <x v="2"/>
    <x v="5"/>
    <x v="27"/>
    <n v="8"/>
    <n v="150"/>
    <n v="1200"/>
    <n v="660"/>
    <n v="540"/>
  </r>
  <r>
    <s v="ORD071"/>
    <x v="51"/>
    <s v="Meera Iyer"/>
    <x v="3"/>
    <x v="9"/>
    <x v="4"/>
    <x v="9"/>
    <n v="3"/>
    <n v="15000"/>
    <n v="45000"/>
    <n v="29250"/>
    <n v="15750"/>
  </r>
  <r>
    <s v="ORD072"/>
    <x v="51"/>
    <s v="Pooja Nair"/>
    <x v="2"/>
    <x v="12"/>
    <x v="3"/>
    <x v="24"/>
    <n v="2"/>
    <n v="2500"/>
    <n v="5000"/>
    <n v="3000"/>
    <n v="2000"/>
  </r>
  <r>
    <s v="ORD073"/>
    <x v="52"/>
    <s v="Meera Iyer"/>
    <x v="3"/>
    <x v="15"/>
    <x v="1"/>
    <x v="17"/>
    <n v="7"/>
    <n v="40000"/>
    <n v="280000"/>
    <n v="218400"/>
    <n v="61600"/>
  </r>
  <r>
    <s v="ORD074"/>
    <x v="53"/>
    <s v="Aisha Khan"/>
    <x v="0"/>
    <x v="3"/>
    <x v="0"/>
    <x v="19"/>
    <n v="3"/>
    <n v="1800"/>
    <n v="5400"/>
    <n v="4428"/>
    <n v="972"/>
  </r>
  <r>
    <s v="ORD075"/>
    <x v="53"/>
    <s v="Karan Gupta"/>
    <x v="2"/>
    <x v="8"/>
    <x v="3"/>
    <x v="5"/>
    <n v="5"/>
    <n v="1500"/>
    <n v="7500"/>
    <n v="4500"/>
    <n v="3000"/>
  </r>
  <r>
    <s v="ORD076"/>
    <x v="54"/>
    <s v="Sameer Khan"/>
    <x v="3"/>
    <x v="11"/>
    <x v="1"/>
    <x v="26"/>
    <n v="4"/>
    <n v="35000"/>
    <n v="140000"/>
    <n v="109200"/>
    <n v="30800"/>
  </r>
  <r>
    <s v="ORD077"/>
    <x v="55"/>
    <s v="Divya Rao"/>
    <x v="1"/>
    <x v="5"/>
    <x v="3"/>
    <x v="23"/>
    <n v="8"/>
    <n v="1800"/>
    <n v="14400"/>
    <n v="8640"/>
    <n v="5760"/>
  </r>
  <r>
    <s v="ORD078"/>
    <x v="56"/>
    <s v="Meera Iyer"/>
    <x v="1"/>
    <x v="14"/>
    <x v="1"/>
    <x v="13"/>
    <n v="7"/>
    <n v="8000"/>
    <n v="56000"/>
    <n v="43680"/>
    <n v="12320"/>
  </r>
  <r>
    <s v="ORD079"/>
    <x v="56"/>
    <s v="Divya Rao"/>
    <x v="2"/>
    <x v="12"/>
    <x v="5"/>
    <x v="21"/>
    <n v="1"/>
    <n v="200"/>
    <n v="200"/>
    <n v="110.00000000000001"/>
    <n v="89.999999999999986"/>
  </r>
  <r>
    <s v="ORD080"/>
    <x v="57"/>
    <s v="Priya Singh"/>
    <x v="3"/>
    <x v="11"/>
    <x v="1"/>
    <x v="17"/>
    <n v="5"/>
    <n v="40000"/>
    <n v="200000"/>
    <n v="156000"/>
    <n v="44000"/>
  </r>
  <r>
    <s v="ORD081"/>
    <x v="58"/>
    <s v="Arjun Kumar"/>
    <x v="0"/>
    <x v="2"/>
    <x v="2"/>
    <x v="3"/>
    <n v="4"/>
    <n v="4500"/>
    <n v="18000"/>
    <n v="12960"/>
    <n v="5040"/>
  </r>
  <r>
    <s v="ORD082"/>
    <x v="59"/>
    <s v="Arjun Kumar"/>
    <x v="1"/>
    <x v="13"/>
    <x v="0"/>
    <x v="0"/>
    <n v="5"/>
    <n v="900"/>
    <n v="4500"/>
    <n v="3690"/>
    <n v="810"/>
  </r>
  <r>
    <s v="ORD083"/>
    <x v="59"/>
    <s v="Amit Verma"/>
    <x v="0"/>
    <x v="2"/>
    <x v="5"/>
    <x v="27"/>
    <n v="6"/>
    <n v="150"/>
    <n v="900"/>
    <n v="495.00000000000006"/>
    <n v="404.99999999999994"/>
  </r>
  <r>
    <s v="ORD084"/>
    <x v="60"/>
    <s v="Nisha Malhotra"/>
    <x v="1"/>
    <x v="13"/>
    <x v="3"/>
    <x v="5"/>
    <n v="7"/>
    <n v="1500"/>
    <n v="10500"/>
    <n v="6300"/>
    <n v="4200"/>
  </r>
  <r>
    <s v="ORD085"/>
    <x v="61"/>
    <s v="Neha Patel"/>
    <x v="2"/>
    <x v="8"/>
    <x v="2"/>
    <x v="15"/>
    <n v="3"/>
    <n v="28000"/>
    <n v="84000"/>
    <n v="60480"/>
    <n v="23520"/>
  </r>
  <r>
    <s v="ORD086"/>
    <x v="62"/>
    <s v="Priya Singh"/>
    <x v="2"/>
    <x v="7"/>
    <x v="0"/>
    <x v="4"/>
    <n v="3"/>
    <n v="2500"/>
    <n v="7500"/>
    <n v="6150"/>
    <n v="1350"/>
  </r>
  <r>
    <s v="ORD087"/>
    <x v="62"/>
    <s v="Rohit Mehta"/>
    <x v="2"/>
    <x v="7"/>
    <x v="5"/>
    <x v="20"/>
    <n v="5"/>
    <n v="400"/>
    <n v="2000"/>
    <n v="1100"/>
    <n v="900"/>
  </r>
  <r>
    <s v="ORD088"/>
    <x v="63"/>
    <s v="Sanjay Reddy"/>
    <x v="3"/>
    <x v="9"/>
    <x v="5"/>
    <x v="20"/>
    <n v="8"/>
    <n v="400"/>
    <n v="3200"/>
    <n v="1760.0000000000002"/>
    <n v="1439.9999999999998"/>
  </r>
  <r>
    <s v="ORD089"/>
    <x v="64"/>
    <s v="Vikram Shah"/>
    <x v="0"/>
    <x v="10"/>
    <x v="0"/>
    <x v="1"/>
    <n v="1"/>
    <n v="55000"/>
    <n v="55000"/>
    <n v="45100"/>
    <n v="9900"/>
  </r>
  <r>
    <s v="ORD090"/>
    <x v="64"/>
    <s v="Rahul Sharma"/>
    <x v="2"/>
    <x v="8"/>
    <x v="3"/>
    <x v="18"/>
    <n v="7"/>
    <n v="700"/>
    <n v="4900"/>
    <n v="2940"/>
    <n v="1960"/>
  </r>
  <r>
    <s v="ORD091"/>
    <x v="65"/>
    <s v="Meera Iyer"/>
    <x v="0"/>
    <x v="10"/>
    <x v="3"/>
    <x v="12"/>
    <n v="5"/>
    <n v="500"/>
    <n v="2500"/>
    <n v="1500"/>
    <n v="1000"/>
  </r>
  <r>
    <s v="ORD092"/>
    <x v="66"/>
    <s v="Divya Rao"/>
    <x v="2"/>
    <x v="8"/>
    <x v="5"/>
    <x v="20"/>
    <n v="8"/>
    <n v="400"/>
    <n v="3200"/>
    <n v="1760.0000000000002"/>
    <n v="1439.9999999999998"/>
  </r>
  <r>
    <s v="ORD093"/>
    <x v="67"/>
    <s v="Nisha Malhotra"/>
    <x v="2"/>
    <x v="4"/>
    <x v="3"/>
    <x v="12"/>
    <n v="7"/>
    <n v="500"/>
    <n v="3500"/>
    <n v="2100"/>
    <n v="1400"/>
  </r>
  <r>
    <s v="ORD094"/>
    <x v="67"/>
    <s v="Pooja Nair"/>
    <x v="2"/>
    <x v="7"/>
    <x v="0"/>
    <x v="0"/>
    <n v="8"/>
    <n v="900"/>
    <n v="7200"/>
    <n v="5904"/>
    <n v="1296"/>
  </r>
  <r>
    <s v="ORD095"/>
    <x v="68"/>
    <s v="Amit Verma"/>
    <x v="0"/>
    <x v="2"/>
    <x v="0"/>
    <x v="28"/>
    <n v="2"/>
    <n v="12000"/>
    <n v="24000"/>
    <n v="19680"/>
    <n v="4320"/>
  </r>
  <r>
    <s v="ORD096"/>
    <x v="69"/>
    <s v="Rahul Sharma"/>
    <x v="1"/>
    <x v="14"/>
    <x v="1"/>
    <x v="16"/>
    <n v="3"/>
    <n v="12000"/>
    <n v="36000"/>
    <n v="28080"/>
    <n v="7920"/>
  </r>
  <r>
    <s v="ORD097"/>
    <x v="70"/>
    <s v="Rohit Mehta"/>
    <x v="1"/>
    <x v="14"/>
    <x v="1"/>
    <x v="13"/>
    <n v="1"/>
    <n v="8000"/>
    <n v="8000"/>
    <n v="6240"/>
    <n v="1760"/>
  </r>
  <r>
    <s v="ORD098"/>
    <x v="70"/>
    <s v="Vikram Shah"/>
    <x v="0"/>
    <x v="3"/>
    <x v="0"/>
    <x v="4"/>
    <n v="1"/>
    <n v="2500"/>
    <n v="2500"/>
    <n v="2050"/>
    <n v="450"/>
  </r>
  <r>
    <s v="ORD099"/>
    <x v="71"/>
    <s v="Sneha Rao"/>
    <x v="0"/>
    <x v="2"/>
    <x v="3"/>
    <x v="12"/>
    <n v="6"/>
    <n v="500"/>
    <n v="3000"/>
    <n v="1800"/>
    <n v="1200"/>
  </r>
  <r>
    <s v="ORD100"/>
    <x v="72"/>
    <s v="Nisha Malhotra"/>
    <x v="2"/>
    <x v="7"/>
    <x v="0"/>
    <x v="28"/>
    <n v="4"/>
    <n v="12000"/>
    <n v="48000"/>
    <n v="39360"/>
    <n v="8640"/>
  </r>
  <r>
    <s v="ORD101"/>
    <x v="72"/>
    <s v="Aisha Khan"/>
    <x v="3"/>
    <x v="15"/>
    <x v="3"/>
    <x v="18"/>
    <n v="4"/>
    <n v="700"/>
    <n v="2800"/>
    <n v="1680"/>
    <n v="1120"/>
  </r>
  <r>
    <s v="ORD102"/>
    <x v="73"/>
    <s v="Priya Singh"/>
    <x v="3"/>
    <x v="9"/>
    <x v="1"/>
    <x v="13"/>
    <n v="4"/>
    <n v="8000"/>
    <n v="32000"/>
    <n v="24960"/>
    <n v="7040"/>
  </r>
  <r>
    <s v="ORD103"/>
    <x v="74"/>
    <s v="Nisha Malhotra"/>
    <x v="0"/>
    <x v="3"/>
    <x v="5"/>
    <x v="10"/>
    <n v="6"/>
    <n v="250"/>
    <n v="1500"/>
    <n v="825.00000000000011"/>
    <n v="674.99999999999989"/>
  </r>
  <r>
    <s v="ORD104"/>
    <x v="75"/>
    <s v="Aisha Khan"/>
    <x v="2"/>
    <x v="12"/>
    <x v="0"/>
    <x v="19"/>
    <n v="1"/>
    <n v="1800"/>
    <n v="1800"/>
    <n v="1476"/>
    <n v="324"/>
  </r>
  <r>
    <s v="ORD105"/>
    <x v="75"/>
    <s v="Sneha Rao"/>
    <x v="3"/>
    <x v="6"/>
    <x v="3"/>
    <x v="24"/>
    <n v="2"/>
    <n v="2500"/>
    <n v="5000"/>
    <n v="3000"/>
    <n v="2000"/>
  </r>
  <r>
    <s v="ORD106"/>
    <x v="76"/>
    <s v="Rahul Sharma"/>
    <x v="0"/>
    <x v="2"/>
    <x v="5"/>
    <x v="8"/>
    <n v="3"/>
    <n v="300"/>
    <n v="900"/>
    <n v="495.00000000000006"/>
    <n v="404.99999999999994"/>
  </r>
  <r>
    <s v="ORD107"/>
    <x v="77"/>
    <s v="Aisha Khan"/>
    <x v="0"/>
    <x v="2"/>
    <x v="1"/>
    <x v="13"/>
    <n v="8"/>
    <n v="8000"/>
    <n v="64000"/>
    <n v="49920"/>
    <n v="14080"/>
  </r>
  <r>
    <s v="ORD108"/>
    <x v="78"/>
    <s v="Anjali Singh"/>
    <x v="0"/>
    <x v="3"/>
    <x v="2"/>
    <x v="7"/>
    <n v="4"/>
    <n v="6500"/>
    <n v="26000"/>
    <n v="18720"/>
    <n v="7280"/>
  </r>
  <r>
    <s v="ORD109"/>
    <x v="78"/>
    <s v="Riya Kapoor"/>
    <x v="2"/>
    <x v="7"/>
    <x v="2"/>
    <x v="11"/>
    <n v="6"/>
    <n v="7500"/>
    <n v="45000"/>
    <n v="32400"/>
    <n v="12600"/>
  </r>
  <r>
    <s v="ORD110"/>
    <x v="79"/>
    <s v="Arjun Kumar"/>
    <x v="2"/>
    <x v="12"/>
    <x v="0"/>
    <x v="4"/>
    <n v="3"/>
    <n v="2500"/>
    <n v="7500"/>
    <n v="6150"/>
    <n v="1350"/>
  </r>
  <r>
    <s v="ORD111"/>
    <x v="80"/>
    <s v="Priya Singh"/>
    <x v="1"/>
    <x v="5"/>
    <x v="5"/>
    <x v="20"/>
    <n v="7"/>
    <n v="400"/>
    <n v="2800"/>
    <n v="1540.0000000000002"/>
    <n v="1259.9999999999998"/>
  </r>
  <r>
    <s v="ORD112"/>
    <x v="80"/>
    <s v="Pooja Nair"/>
    <x v="1"/>
    <x v="13"/>
    <x v="4"/>
    <x v="9"/>
    <n v="8"/>
    <n v="15000"/>
    <n v="120000"/>
    <n v="78000"/>
    <n v="42000"/>
  </r>
  <r>
    <s v="ORD113"/>
    <x v="81"/>
    <s v="Aditya Joshi"/>
    <x v="0"/>
    <x v="0"/>
    <x v="3"/>
    <x v="18"/>
    <n v="6"/>
    <n v="700"/>
    <n v="4200"/>
    <n v="2520"/>
    <n v="1680"/>
  </r>
  <r>
    <s v="ORD114"/>
    <x v="82"/>
    <s v="Karan Gupta"/>
    <x v="2"/>
    <x v="7"/>
    <x v="5"/>
    <x v="20"/>
    <n v="1"/>
    <n v="400"/>
    <n v="400"/>
    <n v="220.00000000000003"/>
    <n v="179.99999999999997"/>
  </r>
  <r>
    <s v="ORD115"/>
    <x v="83"/>
    <s v="Sanjay Reddy"/>
    <x v="1"/>
    <x v="5"/>
    <x v="1"/>
    <x v="26"/>
    <n v="4"/>
    <n v="35000"/>
    <n v="140000"/>
    <n v="109200"/>
    <n v="30800"/>
  </r>
  <r>
    <s v="ORD116"/>
    <x v="83"/>
    <s v="Meera Iyer"/>
    <x v="3"/>
    <x v="11"/>
    <x v="2"/>
    <x v="3"/>
    <n v="8"/>
    <n v="4500"/>
    <n v="36000"/>
    <n v="25920"/>
    <n v="10080"/>
  </r>
  <r>
    <s v="ORD117"/>
    <x v="84"/>
    <s v="Aditya Joshi"/>
    <x v="2"/>
    <x v="12"/>
    <x v="0"/>
    <x v="4"/>
    <n v="6"/>
    <n v="2500"/>
    <n v="15000"/>
    <n v="12300"/>
    <n v="2700"/>
  </r>
  <r>
    <s v="ORD118"/>
    <x v="85"/>
    <s v="Karan Gupta"/>
    <x v="3"/>
    <x v="11"/>
    <x v="1"/>
    <x v="26"/>
    <n v="8"/>
    <n v="35000"/>
    <n v="280000"/>
    <n v="218400"/>
    <n v="61600"/>
  </r>
  <r>
    <s v="ORD119"/>
    <x v="86"/>
    <s v="Karan Gupta"/>
    <x v="1"/>
    <x v="5"/>
    <x v="0"/>
    <x v="28"/>
    <n v="2"/>
    <n v="12000"/>
    <n v="24000"/>
    <n v="19680"/>
    <n v="4320"/>
  </r>
  <r>
    <s v="ORD120"/>
    <x v="86"/>
    <s v="Sneha Rao"/>
    <x v="0"/>
    <x v="0"/>
    <x v="4"/>
    <x v="22"/>
    <n v="3"/>
    <n v="500"/>
    <n v="1500"/>
    <n v="975"/>
    <n v="525"/>
  </r>
  <r>
    <s v="ORD121"/>
    <x v="87"/>
    <s v="Rohit Mehta"/>
    <x v="1"/>
    <x v="5"/>
    <x v="3"/>
    <x v="12"/>
    <n v="7"/>
    <n v="500"/>
    <n v="3500"/>
    <n v="2100"/>
    <n v="1400"/>
  </r>
  <r>
    <s v="ORD122"/>
    <x v="88"/>
    <s v="Priya Singh"/>
    <x v="0"/>
    <x v="3"/>
    <x v="0"/>
    <x v="19"/>
    <n v="8"/>
    <n v="1800"/>
    <n v="14400"/>
    <n v="11808"/>
    <n v="2592"/>
  </r>
  <r>
    <s v="ORD123"/>
    <x v="88"/>
    <s v="Neha Patel"/>
    <x v="1"/>
    <x v="13"/>
    <x v="0"/>
    <x v="28"/>
    <n v="6"/>
    <n v="12000"/>
    <n v="72000"/>
    <n v="59040"/>
    <n v="12960"/>
  </r>
  <r>
    <s v="ORD124"/>
    <x v="89"/>
    <s v="Arjun Kumar"/>
    <x v="1"/>
    <x v="13"/>
    <x v="0"/>
    <x v="28"/>
    <n v="3"/>
    <n v="12000"/>
    <n v="36000"/>
    <n v="29520"/>
    <n v="6480"/>
  </r>
  <r>
    <s v="ORD125"/>
    <x v="90"/>
    <s v="Sanjay Reddy"/>
    <x v="3"/>
    <x v="6"/>
    <x v="1"/>
    <x v="26"/>
    <n v="7"/>
    <n v="35000"/>
    <n v="245000"/>
    <n v="191100"/>
    <n v="53900"/>
  </r>
  <r>
    <s v="ORD126"/>
    <x v="91"/>
    <s v="Rahul Sharma"/>
    <x v="2"/>
    <x v="12"/>
    <x v="4"/>
    <x v="14"/>
    <n v="3"/>
    <n v="300"/>
    <n v="900"/>
    <n v="585"/>
    <n v="315"/>
  </r>
  <r>
    <s v="ORD127"/>
    <x v="91"/>
    <s v="Faisal Ahmed"/>
    <x v="3"/>
    <x v="15"/>
    <x v="3"/>
    <x v="5"/>
    <n v="5"/>
    <n v="1500"/>
    <n v="7500"/>
    <n v="4500"/>
    <n v="3000"/>
  </r>
  <r>
    <s v="ORD128"/>
    <x v="92"/>
    <s v="Rahul Sharma"/>
    <x v="2"/>
    <x v="4"/>
    <x v="1"/>
    <x v="13"/>
    <n v="5"/>
    <n v="8000"/>
    <n v="40000"/>
    <n v="31200"/>
    <n v="8800"/>
  </r>
  <r>
    <s v="ORD129"/>
    <x v="93"/>
    <s v="Nisha Malhotra"/>
    <x v="3"/>
    <x v="11"/>
    <x v="0"/>
    <x v="19"/>
    <n v="6"/>
    <n v="1800"/>
    <n v="10800"/>
    <n v="8856"/>
    <n v="1944"/>
  </r>
  <r>
    <s v="ORD130"/>
    <x v="94"/>
    <s v="Karan Gupta"/>
    <x v="3"/>
    <x v="15"/>
    <x v="4"/>
    <x v="9"/>
    <n v="7"/>
    <n v="15000"/>
    <n v="105000"/>
    <n v="68250"/>
    <n v="36750"/>
  </r>
  <r>
    <s v="ORD131"/>
    <x v="94"/>
    <s v="Sameer Khan"/>
    <x v="3"/>
    <x v="11"/>
    <x v="1"/>
    <x v="16"/>
    <n v="8"/>
    <n v="12000"/>
    <n v="96000"/>
    <n v="74880"/>
    <n v="21120"/>
  </r>
  <r>
    <s v="ORD132"/>
    <x v="95"/>
    <s v="Arjun Kumar"/>
    <x v="0"/>
    <x v="3"/>
    <x v="3"/>
    <x v="12"/>
    <n v="8"/>
    <n v="500"/>
    <n v="4000"/>
    <n v="2400"/>
    <n v="1600"/>
  </r>
  <r>
    <s v="ORD133"/>
    <x v="96"/>
    <s v="Arjun Kumar"/>
    <x v="3"/>
    <x v="9"/>
    <x v="1"/>
    <x v="2"/>
    <n v="4"/>
    <n v="18000"/>
    <n v="72000"/>
    <n v="56160"/>
    <n v="15840"/>
  </r>
  <r>
    <s v="ORD134"/>
    <x v="97"/>
    <s v="Aditya Joshi"/>
    <x v="3"/>
    <x v="11"/>
    <x v="4"/>
    <x v="22"/>
    <n v="3"/>
    <n v="500"/>
    <n v="1500"/>
    <n v="975"/>
    <n v="525"/>
  </r>
  <r>
    <s v="ORD135"/>
    <x v="97"/>
    <s v="Aditya Joshi"/>
    <x v="1"/>
    <x v="5"/>
    <x v="2"/>
    <x v="25"/>
    <n v="3"/>
    <n v="8500"/>
    <n v="25500"/>
    <n v="18360"/>
    <n v="7140"/>
  </r>
  <r>
    <s v="ORD136"/>
    <x v="98"/>
    <s v="Nisha Malhotra"/>
    <x v="0"/>
    <x v="2"/>
    <x v="5"/>
    <x v="10"/>
    <n v="8"/>
    <n v="250"/>
    <n v="2000"/>
    <n v="1100"/>
    <n v="900"/>
  </r>
  <r>
    <s v="ORD137"/>
    <x v="99"/>
    <s v="Meera Iyer"/>
    <x v="2"/>
    <x v="12"/>
    <x v="4"/>
    <x v="14"/>
    <n v="8"/>
    <n v="300"/>
    <n v="2400"/>
    <n v="1560"/>
    <n v="840"/>
  </r>
  <r>
    <s v="ORD138"/>
    <x v="99"/>
    <s v="Sneha Rao"/>
    <x v="0"/>
    <x v="0"/>
    <x v="5"/>
    <x v="27"/>
    <n v="2"/>
    <n v="150"/>
    <n v="300"/>
    <n v="165"/>
    <n v="135"/>
  </r>
  <r>
    <s v="ORD139"/>
    <x v="100"/>
    <s v="Riya Kapoor"/>
    <x v="1"/>
    <x v="14"/>
    <x v="4"/>
    <x v="29"/>
    <n v="7"/>
    <n v="600"/>
    <n v="4200"/>
    <n v="2730"/>
    <n v="1470"/>
  </r>
  <r>
    <s v="ORD140"/>
    <x v="101"/>
    <s v="Amit Verma"/>
    <x v="0"/>
    <x v="10"/>
    <x v="0"/>
    <x v="4"/>
    <n v="5"/>
    <n v="2500"/>
    <n v="12500"/>
    <n v="10250"/>
    <n v="2250"/>
  </r>
  <r>
    <s v="ORD141"/>
    <x v="102"/>
    <s v="Karan Gupta"/>
    <x v="1"/>
    <x v="14"/>
    <x v="1"/>
    <x v="13"/>
    <n v="5"/>
    <n v="8000"/>
    <n v="40000"/>
    <n v="31200"/>
    <n v="8800"/>
  </r>
  <r>
    <s v="ORD142"/>
    <x v="102"/>
    <s v="Neha Patel"/>
    <x v="3"/>
    <x v="6"/>
    <x v="2"/>
    <x v="15"/>
    <n v="5"/>
    <n v="28000"/>
    <n v="140000"/>
    <n v="100800"/>
    <n v="39200"/>
  </r>
  <r>
    <s v="ORD143"/>
    <x v="103"/>
    <s v="Arjun Kumar"/>
    <x v="0"/>
    <x v="3"/>
    <x v="4"/>
    <x v="9"/>
    <n v="3"/>
    <n v="15000"/>
    <n v="45000"/>
    <n v="29250"/>
    <n v="15750"/>
  </r>
  <r>
    <s v="ORD144"/>
    <x v="104"/>
    <s v="Karan Gupta"/>
    <x v="3"/>
    <x v="9"/>
    <x v="1"/>
    <x v="26"/>
    <n v="4"/>
    <n v="35000"/>
    <n v="140000"/>
    <n v="109200"/>
    <n v="30800"/>
  </r>
  <r>
    <s v="ORD145"/>
    <x v="105"/>
    <s v="Rohit Mehta"/>
    <x v="2"/>
    <x v="12"/>
    <x v="2"/>
    <x v="15"/>
    <n v="7"/>
    <n v="28000"/>
    <n v="196000"/>
    <n v="141120"/>
    <n v="54880"/>
  </r>
  <r>
    <s v="ORD146"/>
    <x v="105"/>
    <s v="Sanjay Reddy"/>
    <x v="2"/>
    <x v="7"/>
    <x v="2"/>
    <x v="15"/>
    <n v="5"/>
    <n v="28000"/>
    <n v="140000"/>
    <n v="100800"/>
    <n v="39200"/>
  </r>
  <r>
    <s v="ORD147"/>
    <x v="106"/>
    <s v="Nisha Malhotra"/>
    <x v="1"/>
    <x v="5"/>
    <x v="0"/>
    <x v="4"/>
    <n v="8"/>
    <n v="2500"/>
    <n v="20000"/>
    <n v="16400"/>
    <n v="3600"/>
  </r>
  <r>
    <s v="ORD148"/>
    <x v="107"/>
    <s v="Priya Singh"/>
    <x v="2"/>
    <x v="12"/>
    <x v="5"/>
    <x v="10"/>
    <n v="5"/>
    <n v="250"/>
    <n v="1250"/>
    <n v="687.5"/>
    <n v="562.5"/>
  </r>
  <r>
    <s v="ORD149"/>
    <x v="107"/>
    <s v="Aisha Khan"/>
    <x v="3"/>
    <x v="11"/>
    <x v="5"/>
    <x v="10"/>
    <n v="6"/>
    <n v="250"/>
    <n v="1500"/>
    <n v="825.00000000000011"/>
    <n v="674.99999999999989"/>
  </r>
  <r>
    <s v="ORD150"/>
    <x v="108"/>
    <s v="Faisal Ahmed"/>
    <x v="1"/>
    <x v="5"/>
    <x v="3"/>
    <x v="12"/>
    <n v="5"/>
    <n v="500"/>
    <n v="2500"/>
    <n v="1500"/>
    <n v="1000"/>
  </r>
  <r>
    <s v="ORD151"/>
    <x v="109"/>
    <s v="Riya Kapoor"/>
    <x v="3"/>
    <x v="9"/>
    <x v="5"/>
    <x v="27"/>
    <n v="3"/>
    <n v="150"/>
    <n v="450"/>
    <n v="247.50000000000003"/>
    <n v="202.49999999999997"/>
  </r>
  <r>
    <s v="ORD152"/>
    <x v="110"/>
    <s v="Priya Singh"/>
    <x v="1"/>
    <x v="1"/>
    <x v="2"/>
    <x v="25"/>
    <n v="4"/>
    <n v="8500"/>
    <n v="34000"/>
    <n v="24480"/>
    <n v="9520"/>
  </r>
  <r>
    <s v="ORD153"/>
    <x v="110"/>
    <s v="Divya Rao"/>
    <x v="3"/>
    <x v="6"/>
    <x v="5"/>
    <x v="20"/>
    <n v="6"/>
    <n v="400"/>
    <n v="2400"/>
    <n v="1320"/>
    <n v="1080"/>
  </r>
  <r>
    <s v="ORD154"/>
    <x v="111"/>
    <s v="Sameer Khan"/>
    <x v="0"/>
    <x v="10"/>
    <x v="1"/>
    <x v="26"/>
    <n v="6"/>
    <n v="35000"/>
    <n v="210000"/>
    <n v="163800"/>
    <n v="46200"/>
  </r>
  <r>
    <s v="ORD155"/>
    <x v="112"/>
    <s v="Rohit Mehta"/>
    <x v="2"/>
    <x v="7"/>
    <x v="5"/>
    <x v="10"/>
    <n v="2"/>
    <n v="250"/>
    <n v="500"/>
    <n v="275"/>
    <n v="225"/>
  </r>
  <r>
    <s v="ORD156"/>
    <x v="113"/>
    <s v="Vikram Shah"/>
    <x v="0"/>
    <x v="0"/>
    <x v="2"/>
    <x v="25"/>
    <n v="1"/>
    <n v="8500"/>
    <n v="8500"/>
    <n v="6120"/>
    <n v="2380"/>
  </r>
  <r>
    <s v="ORD157"/>
    <x v="113"/>
    <s v="Arjun Kumar"/>
    <x v="1"/>
    <x v="14"/>
    <x v="3"/>
    <x v="24"/>
    <n v="8"/>
    <n v="2500"/>
    <n v="20000"/>
    <n v="12000"/>
    <n v="8000"/>
  </r>
  <r>
    <s v="ORD158"/>
    <x v="114"/>
    <s v="Riya Kapoor"/>
    <x v="2"/>
    <x v="12"/>
    <x v="1"/>
    <x v="17"/>
    <n v="4"/>
    <n v="40000"/>
    <n v="160000"/>
    <n v="124800"/>
    <n v="35200"/>
  </r>
  <r>
    <s v="ORD159"/>
    <x v="115"/>
    <s v="Rohit Mehta"/>
    <x v="3"/>
    <x v="15"/>
    <x v="0"/>
    <x v="4"/>
    <n v="1"/>
    <n v="2500"/>
    <n v="2500"/>
    <n v="2050"/>
    <n v="450"/>
  </r>
  <r>
    <s v="ORD160"/>
    <x v="115"/>
    <s v="Anjali Singh"/>
    <x v="3"/>
    <x v="9"/>
    <x v="4"/>
    <x v="9"/>
    <n v="1"/>
    <n v="15000"/>
    <n v="15000"/>
    <n v="9750"/>
    <n v="5250"/>
  </r>
  <r>
    <s v="ORD161"/>
    <x v="116"/>
    <s v="Meera Iyer"/>
    <x v="2"/>
    <x v="4"/>
    <x v="1"/>
    <x v="2"/>
    <n v="1"/>
    <n v="18000"/>
    <n v="18000"/>
    <n v="14040"/>
    <n v="3960"/>
  </r>
  <r>
    <s v="ORD162"/>
    <x v="117"/>
    <s v="Sameer Khan"/>
    <x v="1"/>
    <x v="1"/>
    <x v="2"/>
    <x v="3"/>
    <n v="5"/>
    <n v="4500"/>
    <n v="22500"/>
    <n v="16200"/>
    <n v="6300"/>
  </r>
  <r>
    <s v="ORD163"/>
    <x v="118"/>
    <s v="Anjali Singh"/>
    <x v="2"/>
    <x v="7"/>
    <x v="2"/>
    <x v="25"/>
    <n v="7"/>
    <n v="8500"/>
    <n v="59500"/>
    <n v="42840"/>
    <n v="16660"/>
  </r>
  <r>
    <s v="ORD164"/>
    <x v="118"/>
    <s v="Faisal Ahmed"/>
    <x v="0"/>
    <x v="0"/>
    <x v="1"/>
    <x v="16"/>
    <n v="8"/>
    <n v="12000"/>
    <n v="96000"/>
    <n v="74880"/>
    <n v="21120"/>
  </r>
  <r>
    <s v="ORD165"/>
    <x v="119"/>
    <s v="Nisha Malhotra"/>
    <x v="0"/>
    <x v="10"/>
    <x v="1"/>
    <x v="13"/>
    <n v="8"/>
    <n v="8000"/>
    <n v="64000"/>
    <n v="49920"/>
    <n v="14080"/>
  </r>
  <r>
    <s v="ORD166"/>
    <x v="120"/>
    <s v="Amit Verma"/>
    <x v="0"/>
    <x v="3"/>
    <x v="3"/>
    <x v="5"/>
    <n v="5"/>
    <n v="1500"/>
    <n v="7500"/>
    <n v="4500"/>
    <n v="3000"/>
  </r>
  <r>
    <s v="ORD167"/>
    <x v="121"/>
    <s v="Sneha Rao"/>
    <x v="1"/>
    <x v="13"/>
    <x v="2"/>
    <x v="3"/>
    <n v="6"/>
    <n v="4500"/>
    <n v="27000"/>
    <n v="19440"/>
    <n v="7560"/>
  </r>
  <r>
    <s v="ORD168"/>
    <x v="121"/>
    <s v="Aditya Joshi"/>
    <x v="1"/>
    <x v="5"/>
    <x v="5"/>
    <x v="8"/>
    <n v="4"/>
    <n v="300"/>
    <n v="1200"/>
    <n v="660"/>
    <n v="540"/>
  </r>
  <r>
    <s v="ORD169"/>
    <x v="122"/>
    <s v="Aisha Khan"/>
    <x v="1"/>
    <x v="14"/>
    <x v="4"/>
    <x v="14"/>
    <n v="1"/>
    <n v="300"/>
    <n v="300"/>
    <n v="195"/>
    <n v="105"/>
  </r>
  <r>
    <s v="ORD170"/>
    <x v="123"/>
    <s v="Aditya Joshi"/>
    <x v="2"/>
    <x v="8"/>
    <x v="0"/>
    <x v="19"/>
    <n v="6"/>
    <n v="1800"/>
    <n v="10800"/>
    <n v="8856"/>
    <n v="1944"/>
  </r>
  <r>
    <s v="ORD171"/>
    <x v="124"/>
    <s v="Anjali Singh"/>
    <x v="1"/>
    <x v="13"/>
    <x v="3"/>
    <x v="23"/>
    <n v="5"/>
    <n v="1800"/>
    <n v="9000"/>
    <n v="5400"/>
    <n v="3600"/>
  </r>
  <r>
    <s v="ORD172"/>
    <x v="124"/>
    <s v="Sneha Rao"/>
    <x v="2"/>
    <x v="8"/>
    <x v="5"/>
    <x v="10"/>
    <n v="2"/>
    <n v="250"/>
    <n v="500"/>
    <n v="275"/>
    <n v="225"/>
  </r>
  <r>
    <s v="ORD173"/>
    <x v="125"/>
    <s v="Nisha Malhotra"/>
    <x v="0"/>
    <x v="3"/>
    <x v="3"/>
    <x v="23"/>
    <n v="5"/>
    <n v="1800"/>
    <n v="9000"/>
    <n v="5400"/>
    <n v="3600"/>
  </r>
  <r>
    <s v="ORD174"/>
    <x v="126"/>
    <s v="Anjali Singh"/>
    <x v="2"/>
    <x v="8"/>
    <x v="2"/>
    <x v="25"/>
    <n v="5"/>
    <n v="8500"/>
    <n v="42500"/>
    <n v="30600"/>
    <n v="11900"/>
  </r>
  <r>
    <s v="ORD175"/>
    <x v="126"/>
    <s v="Pooja Nair"/>
    <x v="2"/>
    <x v="7"/>
    <x v="5"/>
    <x v="20"/>
    <n v="2"/>
    <n v="400"/>
    <n v="800"/>
    <n v="440.00000000000006"/>
    <n v="359.99999999999994"/>
  </r>
  <r>
    <s v="ORD176"/>
    <x v="127"/>
    <s v="Sameer Khan"/>
    <x v="3"/>
    <x v="6"/>
    <x v="2"/>
    <x v="3"/>
    <n v="1"/>
    <n v="4500"/>
    <n v="4500"/>
    <n v="3240"/>
    <n v="1260"/>
  </r>
  <r>
    <s v="ORD177"/>
    <x v="128"/>
    <s v="Vikram Shah"/>
    <x v="3"/>
    <x v="9"/>
    <x v="0"/>
    <x v="0"/>
    <n v="8"/>
    <n v="900"/>
    <n v="7200"/>
    <n v="5904"/>
    <n v="1296"/>
  </r>
  <r>
    <s v="ORD178"/>
    <x v="129"/>
    <s v="Rohit Mehta"/>
    <x v="2"/>
    <x v="7"/>
    <x v="5"/>
    <x v="10"/>
    <n v="7"/>
    <n v="250"/>
    <n v="1750"/>
    <n v="962.50000000000011"/>
    <n v="787.49999999999989"/>
  </r>
  <r>
    <s v="ORD179"/>
    <x v="129"/>
    <s v="Rohit Mehta"/>
    <x v="3"/>
    <x v="6"/>
    <x v="0"/>
    <x v="0"/>
    <n v="4"/>
    <n v="900"/>
    <n v="3600"/>
    <n v="2952"/>
    <n v="648"/>
  </r>
  <r>
    <s v="ORD180"/>
    <x v="130"/>
    <s v="Rahul Sharma"/>
    <x v="3"/>
    <x v="9"/>
    <x v="4"/>
    <x v="9"/>
    <n v="7"/>
    <n v="15000"/>
    <n v="105000"/>
    <n v="68250"/>
    <n v="36750"/>
  </r>
  <r>
    <s v="ORD181"/>
    <x v="131"/>
    <s v="Arjun Kumar"/>
    <x v="0"/>
    <x v="0"/>
    <x v="0"/>
    <x v="4"/>
    <n v="3"/>
    <n v="2500"/>
    <n v="7500"/>
    <n v="6150"/>
    <n v="1350"/>
  </r>
  <r>
    <s v="ORD182"/>
    <x v="132"/>
    <s v="Arjun Kumar"/>
    <x v="0"/>
    <x v="2"/>
    <x v="2"/>
    <x v="3"/>
    <n v="3"/>
    <n v="4500"/>
    <n v="13500"/>
    <n v="9720"/>
    <n v="3780"/>
  </r>
  <r>
    <s v="ORD183"/>
    <x v="132"/>
    <s v="Karan Gupta"/>
    <x v="2"/>
    <x v="4"/>
    <x v="4"/>
    <x v="14"/>
    <n v="8"/>
    <n v="300"/>
    <n v="2400"/>
    <n v="1560"/>
    <n v="840"/>
  </r>
  <r>
    <s v="ORD184"/>
    <x v="133"/>
    <s v="Rahul Sharma"/>
    <x v="3"/>
    <x v="9"/>
    <x v="3"/>
    <x v="23"/>
    <n v="2"/>
    <n v="1800"/>
    <n v="3600"/>
    <n v="2160"/>
    <n v="1440"/>
  </r>
  <r>
    <s v="ORD185"/>
    <x v="134"/>
    <s v="Divya Rao"/>
    <x v="1"/>
    <x v="5"/>
    <x v="1"/>
    <x v="26"/>
    <n v="2"/>
    <n v="35000"/>
    <n v="70000"/>
    <n v="54600"/>
    <n v="15400"/>
  </r>
  <r>
    <s v="ORD186"/>
    <x v="134"/>
    <s v="Sameer Khan"/>
    <x v="3"/>
    <x v="11"/>
    <x v="1"/>
    <x v="26"/>
    <n v="7"/>
    <n v="35000"/>
    <n v="245000"/>
    <n v="191100"/>
    <n v="53900"/>
  </r>
  <r>
    <s v="ORD187"/>
    <x v="135"/>
    <s v="Amit Verma"/>
    <x v="0"/>
    <x v="0"/>
    <x v="2"/>
    <x v="15"/>
    <n v="3"/>
    <n v="28000"/>
    <n v="84000"/>
    <n v="60480"/>
    <n v="23520"/>
  </r>
  <r>
    <s v="ORD188"/>
    <x v="136"/>
    <s v="Arjun Kumar"/>
    <x v="2"/>
    <x v="4"/>
    <x v="5"/>
    <x v="20"/>
    <n v="2"/>
    <n v="400"/>
    <n v="800"/>
    <n v="440.00000000000006"/>
    <n v="359.99999999999994"/>
  </r>
  <r>
    <s v="ORD189"/>
    <x v="137"/>
    <s v="Rahul Sharma"/>
    <x v="3"/>
    <x v="9"/>
    <x v="2"/>
    <x v="15"/>
    <n v="3"/>
    <n v="28000"/>
    <n v="84000"/>
    <n v="60480"/>
    <n v="23520"/>
  </r>
  <r>
    <s v="ORD190"/>
    <x v="137"/>
    <s v="Arjun Kumar"/>
    <x v="2"/>
    <x v="12"/>
    <x v="0"/>
    <x v="1"/>
    <n v="2"/>
    <n v="55000"/>
    <n v="110000"/>
    <n v="90200"/>
    <n v="19800"/>
  </r>
  <r>
    <s v="ORD191"/>
    <x v="138"/>
    <s v="Meera Iyer"/>
    <x v="3"/>
    <x v="9"/>
    <x v="4"/>
    <x v="14"/>
    <n v="8"/>
    <n v="300"/>
    <n v="2400"/>
    <n v="1560"/>
    <n v="840"/>
  </r>
  <r>
    <s v="ORD192"/>
    <x v="139"/>
    <s v="Pooja Nair"/>
    <x v="2"/>
    <x v="12"/>
    <x v="5"/>
    <x v="8"/>
    <n v="8"/>
    <n v="300"/>
    <n v="2400"/>
    <n v="1320"/>
    <n v="1080"/>
  </r>
  <r>
    <s v="ORD193"/>
    <x v="140"/>
    <s v="Sneha Rao"/>
    <x v="1"/>
    <x v="14"/>
    <x v="1"/>
    <x v="2"/>
    <n v="3"/>
    <n v="18000"/>
    <n v="54000"/>
    <n v="42120"/>
    <n v="11880"/>
  </r>
  <r>
    <s v="ORD194"/>
    <x v="140"/>
    <s v="Pooja Nair"/>
    <x v="1"/>
    <x v="14"/>
    <x v="1"/>
    <x v="16"/>
    <n v="4"/>
    <n v="12000"/>
    <n v="48000"/>
    <n v="37440"/>
    <n v="10560"/>
  </r>
  <r>
    <s v="ORD195"/>
    <x v="141"/>
    <s v="Priya Singh"/>
    <x v="1"/>
    <x v="13"/>
    <x v="3"/>
    <x v="5"/>
    <n v="2"/>
    <n v="1500"/>
    <n v="3000"/>
    <n v="1800"/>
    <n v="1200"/>
  </r>
  <r>
    <s v="ORD196"/>
    <x v="142"/>
    <s v="Karan Gupta"/>
    <x v="1"/>
    <x v="13"/>
    <x v="3"/>
    <x v="12"/>
    <n v="5"/>
    <n v="500"/>
    <n v="2500"/>
    <n v="1500"/>
    <n v="1000"/>
  </r>
  <r>
    <s v="ORD197"/>
    <x v="142"/>
    <s v="Rahul Sharma"/>
    <x v="0"/>
    <x v="3"/>
    <x v="2"/>
    <x v="7"/>
    <n v="7"/>
    <n v="6500"/>
    <n v="45500"/>
    <n v="32760"/>
    <n v="12740"/>
  </r>
  <r>
    <s v="ORD198"/>
    <x v="143"/>
    <s v="Neha Patel"/>
    <x v="0"/>
    <x v="3"/>
    <x v="5"/>
    <x v="10"/>
    <n v="2"/>
    <n v="250"/>
    <n v="500"/>
    <n v="275"/>
    <n v="225"/>
  </r>
  <r>
    <s v="ORD199"/>
    <x v="144"/>
    <s v="Karan Gupta"/>
    <x v="2"/>
    <x v="12"/>
    <x v="5"/>
    <x v="8"/>
    <n v="4"/>
    <n v="300"/>
    <n v="1200"/>
    <n v="660"/>
    <n v="540"/>
  </r>
  <r>
    <s v="ORD200"/>
    <x v="145"/>
    <s v="Divya Rao"/>
    <x v="3"/>
    <x v="6"/>
    <x v="4"/>
    <x v="6"/>
    <n v="5"/>
    <n v="250"/>
    <n v="1250"/>
    <n v="812.5"/>
    <n v="437.5"/>
  </r>
  <r>
    <s v="ORD201"/>
    <x v="145"/>
    <s v="Meera Iyer"/>
    <x v="2"/>
    <x v="7"/>
    <x v="1"/>
    <x v="13"/>
    <n v="3"/>
    <n v="8000"/>
    <n v="24000"/>
    <n v="18720"/>
    <n v="5280"/>
  </r>
  <r>
    <s v="ORD202"/>
    <x v="146"/>
    <s v="Neha Patel"/>
    <x v="2"/>
    <x v="4"/>
    <x v="0"/>
    <x v="28"/>
    <n v="4"/>
    <n v="12000"/>
    <n v="48000"/>
    <n v="39360"/>
    <n v="8640"/>
  </r>
  <r>
    <s v="ORD203"/>
    <x v="147"/>
    <s v="Vikram Shah"/>
    <x v="0"/>
    <x v="3"/>
    <x v="1"/>
    <x v="26"/>
    <n v="8"/>
    <n v="35000"/>
    <n v="280000"/>
    <n v="218400"/>
    <n v="61600"/>
  </r>
  <r>
    <s v="ORD204"/>
    <x v="148"/>
    <s v="Arjun Kumar"/>
    <x v="0"/>
    <x v="10"/>
    <x v="2"/>
    <x v="3"/>
    <n v="7"/>
    <n v="4500"/>
    <n v="31500"/>
    <n v="22680"/>
    <n v="8820"/>
  </r>
  <r>
    <s v="ORD205"/>
    <x v="148"/>
    <s v="Meera Iyer"/>
    <x v="0"/>
    <x v="10"/>
    <x v="0"/>
    <x v="19"/>
    <n v="6"/>
    <n v="1800"/>
    <n v="10800"/>
    <n v="8856"/>
    <n v="1944"/>
  </r>
  <r>
    <s v="ORD206"/>
    <x v="149"/>
    <s v="Rahul Sharma"/>
    <x v="3"/>
    <x v="9"/>
    <x v="4"/>
    <x v="14"/>
    <n v="2"/>
    <n v="300"/>
    <n v="600"/>
    <n v="390"/>
    <n v="210"/>
  </r>
  <r>
    <s v="ORD207"/>
    <x v="150"/>
    <s v="Neha Patel"/>
    <x v="2"/>
    <x v="4"/>
    <x v="0"/>
    <x v="19"/>
    <n v="5"/>
    <n v="1800"/>
    <n v="9000"/>
    <n v="7380"/>
    <n v="1620"/>
  </r>
  <r>
    <s v="ORD208"/>
    <x v="150"/>
    <s v="Priya Singh"/>
    <x v="0"/>
    <x v="3"/>
    <x v="4"/>
    <x v="29"/>
    <n v="8"/>
    <n v="600"/>
    <n v="4800"/>
    <n v="3120"/>
    <n v="1680"/>
  </r>
  <r>
    <s v="ORD209"/>
    <x v="151"/>
    <s v="Aisha Khan"/>
    <x v="3"/>
    <x v="6"/>
    <x v="0"/>
    <x v="19"/>
    <n v="4"/>
    <n v="1800"/>
    <n v="7200"/>
    <n v="5904"/>
    <n v="1296"/>
  </r>
  <r>
    <s v="ORD210"/>
    <x v="152"/>
    <s v="Pooja Nair"/>
    <x v="1"/>
    <x v="5"/>
    <x v="5"/>
    <x v="21"/>
    <n v="6"/>
    <n v="200"/>
    <n v="1200"/>
    <n v="660"/>
    <n v="540"/>
  </r>
  <r>
    <s v="ORD211"/>
    <x v="153"/>
    <s v="Priya Singh"/>
    <x v="2"/>
    <x v="4"/>
    <x v="1"/>
    <x v="13"/>
    <n v="6"/>
    <n v="8000"/>
    <n v="48000"/>
    <n v="37440"/>
    <n v="10560"/>
  </r>
  <r>
    <s v="ORD212"/>
    <x v="153"/>
    <s v="Aisha Khan"/>
    <x v="0"/>
    <x v="0"/>
    <x v="0"/>
    <x v="4"/>
    <n v="8"/>
    <n v="2500"/>
    <n v="20000"/>
    <n v="16400"/>
    <n v="3600"/>
  </r>
  <r>
    <s v="ORD213"/>
    <x v="154"/>
    <s v="Neha Patel"/>
    <x v="0"/>
    <x v="2"/>
    <x v="2"/>
    <x v="11"/>
    <n v="3"/>
    <n v="7500"/>
    <n v="22500"/>
    <n v="16200"/>
    <n v="6300"/>
  </r>
  <r>
    <s v="ORD214"/>
    <x v="155"/>
    <s v="Aditya Joshi"/>
    <x v="1"/>
    <x v="5"/>
    <x v="2"/>
    <x v="15"/>
    <n v="8"/>
    <n v="28000"/>
    <n v="224000"/>
    <n v="161280"/>
    <n v="62720"/>
  </r>
  <r>
    <s v="ORD215"/>
    <x v="156"/>
    <s v="Priya Singh"/>
    <x v="0"/>
    <x v="3"/>
    <x v="1"/>
    <x v="2"/>
    <n v="3"/>
    <n v="18000"/>
    <n v="54000"/>
    <n v="42120"/>
    <n v="11880"/>
  </r>
  <r>
    <s v="ORD216"/>
    <x v="156"/>
    <s v="Aisha Khan"/>
    <x v="1"/>
    <x v="14"/>
    <x v="5"/>
    <x v="20"/>
    <n v="8"/>
    <n v="400"/>
    <n v="3200"/>
    <n v="1760.0000000000002"/>
    <n v="1439.9999999999998"/>
  </r>
  <r>
    <s v="ORD217"/>
    <x v="157"/>
    <s v="Priya Singh"/>
    <x v="1"/>
    <x v="13"/>
    <x v="4"/>
    <x v="29"/>
    <n v="4"/>
    <n v="600"/>
    <n v="2400"/>
    <n v="1560"/>
    <n v="840"/>
  </r>
  <r>
    <s v="ORD218"/>
    <x v="158"/>
    <s v="Karan Gupta"/>
    <x v="0"/>
    <x v="3"/>
    <x v="5"/>
    <x v="20"/>
    <n v="5"/>
    <n v="400"/>
    <n v="2000"/>
    <n v="1100"/>
    <n v="900"/>
  </r>
  <r>
    <s v="ORD219"/>
    <x v="159"/>
    <s v="Aisha Khan"/>
    <x v="2"/>
    <x v="7"/>
    <x v="3"/>
    <x v="23"/>
    <n v="8"/>
    <n v="1800"/>
    <n v="14400"/>
    <n v="8640"/>
    <n v="5760"/>
  </r>
  <r>
    <s v="ORD220"/>
    <x v="159"/>
    <s v="Aisha Khan"/>
    <x v="3"/>
    <x v="6"/>
    <x v="3"/>
    <x v="23"/>
    <n v="3"/>
    <n v="1800"/>
    <n v="5400"/>
    <n v="3240"/>
    <n v="2160"/>
  </r>
  <r>
    <s v="ORD221"/>
    <x v="160"/>
    <s v="Aisha Khan"/>
    <x v="3"/>
    <x v="6"/>
    <x v="3"/>
    <x v="23"/>
    <n v="6"/>
    <n v="1800"/>
    <n v="10800"/>
    <n v="6480"/>
    <n v="4320"/>
  </r>
  <r>
    <s v="ORD222"/>
    <x v="161"/>
    <s v="Vikram Shah"/>
    <x v="3"/>
    <x v="9"/>
    <x v="4"/>
    <x v="22"/>
    <n v="8"/>
    <n v="500"/>
    <n v="4000"/>
    <n v="2600"/>
    <n v="1400"/>
  </r>
  <r>
    <s v="ORD223"/>
    <x v="161"/>
    <s v="Sanjay Reddy"/>
    <x v="1"/>
    <x v="1"/>
    <x v="2"/>
    <x v="25"/>
    <n v="3"/>
    <n v="8500"/>
    <n v="25500"/>
    <n v="18360"/>
    <n v="7140"/>
  </r>
  <r>
    <s v="ORD224"/>
    <x v="162"/>
    <s v="Aditya Joshi"/>
    <x v="0"/>
    <x v="3"/>
    <x v="5"/>
    <x v="10"/>
    <n v="5"/>
    <n v="250"/>
    <n v="1250"/>
    <n v="687.5"/>
    <n v="562.5"/>
  </r>
  <r>
    <s v="ORD225"/>
    <x v="163"/>
    <s v="Nisha Malhotra"/>
    <x v="0"/>
    <x v="0"/>
    <x v="2"/>
    <x v="25"/>
    <n v="2"/>
    <n v="8500"/>
    <n v="17000"/>
    <n v="12240"/>
    <n v="4760"/>
  </r>
  <r>
    <s v="ORD226"/>
    <x v="164"/>
    <s v="Faisal Ahmed"/>
    <x v="3"/>
    <x v="11"/>
    <x v="0"/>
    <x v="4"/>
    <n v="4"/>
    <n v="2500"/>
    <n v="10000"/>
    <n v="8200"/>
    <n v="1800"/>
  </r>
  <r>
    <s v="ORD227"/>
    <x v="164"/>
    <s v="Aditya Joshi"/>
    <x v="2"/>
    <x v="8"/>
    <x v="3"/>
    <x v="23"/>
    <n v="2"/>
    <n v="1800"/>
    <n v="3600"/>
    <n v="2160"/>
    <n v="1440"/>
  </r>
  <r>
    <s v="ORD228"/>
    <x v="165"/>
    <s v="Rohit Mehta"/>
    <x v="2"/>
    <x v="12"/>
    <x v="1"/>
    <x v="2"/>
    <n v="3"/>
    <n v="18000"/>
    <n v="54000"/>
    <n v="42120"/>
    <n v="11880"/>
  </r>
  <r>
    <s v="ORD229"/>
    <x v="166"/>
    <s v="Aditya Joshi"/>
    <x v="2"/>
    <x v="8"/>
    <x v="2"/>
    <x v="11"/>
    <n v="8"/>
    <n v="7500"/>
    <n v="60000"/>
    <n v="43200"/>
    <n v="16800"/>
  </r>
  <r>
    <s v="ORD230"/>
    <x v="167"/>
    <s v="Riya Kapoor"/>
    <x v="1"/>
    <x v="1"/>
    <x v="1"/>
    <x v="26"/>
    <n v="7"/>
    <n v="35000"/>
    <n v="245000"/>
    <n v="191100"/>
    <n v="53900"/>
  </r>
  <r>
    <s v="ORD231"/>
    <x v="167"/>
    <s v="Neha Patel"/>
    <x v="3"/>
    <x v="15"/>
    <x v="4"/>
    <x v="9"/>
    <n v="6"/>
    <n v="15000"/>
    <n v="90000"/>
    <n v="58500"/>
    <n v="31500"/>
  </r>
  <r>
    <s v="ORD232"/>
    <x v="168"/>
    <s v="Karan Gupta"/>
    <x v="3"/>
    <x v="9"/>
    <x v="0"/>
    <x v="1"/>
    <n v="6"/>
    <n v="55000"/>
    <n v="330000"/>
    <n v="270600"/>
    <n v="59400"/>
  </r>
  <r>
    <s v="ORD233"/>
    <x v="169"/>
    <s v="Amit Verma"/>
    <x v="3"/>
    <x v="11"/>
    <x v="4"/>
    <x v="29"/>
    <n v="3"/>
    <n v="600"/>
    <n v="1800"/>
    <n v="1170"/>
    <n v="630"/>
  </r>
  <r>
    <s v="ORD234"/>
    <x v="169"/>
    <s v="Karan Gupta"/>
    <x v="1"/>
    <x v="14"/>
    <x v="2"/>
    <x v="25"/>
    <n v="2"/>
    <n v="8500"/>
    <n v="17000"/>
    <n v="12240"/>
    <n v="4760"/>
  </r>
  <r>
    <s v="ORD235"/>
    <x v="170"/>
    <s v="Aditya Joshi"/>
    <x v="3"/>
    <x v="15"/>
    <x v="3"/>
    <x v="12"/>
    <n v="8"/>
    <n v="500"/>
    <n v="4000"/>
    <n v="2400"/>
    <n v="1600"/>
  </r>
  <r>
    <s v="ORD236"/>
    <x v="171"/>
    <s v="Rohit Mehta"/>
    <x v="1"/>
    <x v="13"/>
    <x v="4"/>
    <x v="29"/>
    <n v="4"/>
    <n v="600"/>
    <n v="2400"/>
    <n v="1560"/>
    <n v="840"/>
  </r>
  <r>
    <s v="ORD237"/>
    <x v="172"/>
    <s v="Faisal Ahmed"/>
    <x v="2"/>
    <x v="12"/>
    <x v="2"/>
    <x v="15"/>
    <n v="7"/>
    <n v="28000"/>
    <n v="196000"/>
    <n v="141120"/>
    <n v="54880"/>
  </r>
  <r>
    <s v="ORD238"/>
    <x v="172"/>
    <s v="Karan Gupta"/>
    <x v="1"/>
    <x v="14"/>
    <x v="4"/>
    <x v="14"/>
    <n v="2"/>
    <n v="300"/>
    <n v="600"/>
    <n v="390"/>
    <n v="210"/>
  </r>
  <r>
    <s v="ORD239"/>
    <x v="173"/>
    <s v="Rahul Sharma"/>
    <x v="2"/>
    <x v="12"/>
    <x v="5"/>
    <x v="8"/>
    <n v="1"/>
    <n v="300"/>
    <n v="300"/>
    <n v="165"/>
    <n v="135"/>
  </r>
  <r>
    <s v="ORD240"/>
    <x v="174"/>
    <s v="Aisha Khan"/>
    <x v="3"/>
    <x v="11"/>
    <x v="5"/>
    <x v="21"/>
    <n v="2"/>
    <n v="200"/>
    <n v="400"/>
    <n v="220.00000000000003"/>
    <n v="179.99999999999997"/>
  </r>
  <r>
    <s v="ORD241"/>
    <x v="175"/>
    <s v="Vikram Shah"/>
    <x v="3"/>
    <x v="15"/>
    <x v="5"/>
    <x v="21"/>
    <n v="1"/>
    <n v="200"/>
    <n v="200"/>
    <n v="110.00000000000001"/>
    <n v="89.999999999999986"/>
  </r>
  <r>
    <s v="ORD242"/>
    <x v="175"/>
    <s v="Karan Gupta"/>
    <x v="0"/>
    <x v="3"/>
    <x v="5"/>
    <x v="27"/>
    <n v="1"/>
    <n v="150"/>
    <n v="150"/>
    <n v="82.5"/>
    <n v="67.5"/>
  </r>
  <r>
    <s v="ORD243"/>
    <x v="176"/>
    <s v="Divya Rao"/>
    <x v="3"/>
    <x v="15"/>
    <x v="0"/>
    <x v="19"/>
    <n v="3"/>
    <n v="1800"/>
    <n v="5400"/>
    <n v="4428"/>
    <n v="972"/>
  </r>
  <r>
    <s v="ORD244"/>
    <x v="177"/>
    <s v="Nisha Malhotra"/>
    <x v="0"/>
    <x v="0"/>
    <x v="0"/>
    <x v="19"/>
    <n v="2"/>
    <n v="1800"/>
    <n v="3600"/>
    <n v="2952"/>
    <n v="648"/>
  </r>
  <r>
    <s v="ORD245"/>
    <x v="177"/>
    <s v="Sameer Khan"/>
    <x v="0"/>
    <x v="10"/>
    <x v="3"/>
    <x v="5"/>
    <n v="8"/>
    <n v="1500"/>
    <n v="12000"/>
    <n v="7200"/>
    <n v="4800"/>
  </r>
  <r>
    <s v="ORD246"/>
    <x v="178"/>
    <s v="Sanjay Reddy"/>
    <x v="2"/>
    <x v="7"/>
    <x v="5"/>
    <x v="21"/>
    <n v="2"/>
    <n v="200"/>
    <n v="400"/>
    <n v="220.00000000000003"/>
    <n v="179.99999999999997"/>
  </r>
  <r>
    <s v="ORD247"/>
    <x v="179"/>
    <s v="Nisha Malhotra"/>
    <x v="3"/>
    <x v="11"/>
    <x v="4"/>
    <x v="9"/>
    <n v="3"/>
    <n v="15000"/>
    <n v="45000"/>
    <n v="29250"/>
    <n v="15750"/>
  </r>
  <r>
    <s v="ORD248"/>
    <x v="180"/>
    <s v="Aisha Khan"/>
    <x v="2"/>
    <x v="4"/>
    <x v="3"/>
    <x v="12"/>
    <n v="2"/>
    <n v="500"/>
    <n v="1000"/>
    <n v="600"/>
    <n v="400"/>
  </r>
  <r>
    <s v="ORD249"/>
    <x v="180"/>
    <s v="Aisha Khan"/>
    <x v="1"/>
    <x v="1"/>
    <x v="4"/>
    <x v="29"/>
    <n v="3"/>
    <n v="600"/>
    <n v="1800"/>
    <n v="1170"/>
    <n v="630"/>
  </r>
  <r>
    <s v="ORD250"/>
    <x v="181"/>
    <s v="Amit Verma"/>
    <x v="3"/>
    <x v="11"/>
    <x v="3"/>
    <x v="12"/>
    <n v="1"/>
    <n v="500"/>
    <n v="500"/>
    <n v="300"/>
    <n v="200"/>
  </r>
  <r>
    <s v="ORD251"/>
    <x v="182"/>
    <s v="Rahul Sharma"/>
    <x v="0"/>
    <x v="10"/>
    <x v="1"/>
    <x v="16"/>
    <n v="6"/>
    <n v="12000"/>
    <n v="72000"/>
    <n v="56160"/>
    <n v="15840"/>
  </r>
  <r>
    <s v="ORD252"/>
    <x v="183"/>
    <s v="Sameer Khan"/>
    <x v="3"/>
    <x v="9"/>
    <x v="4"/>
    <x v="22"/>
    <n v="7"/>
    <n v="500"/>
    <n v="3500"/>
    <n v="2275"/>
    <n v="1225"/>
  </r>
  <r>
    <s v="ORD253"/>
    <x v="183"/>
    <s v="Aditya Joshi"/>
    <x v="3"/>
    <x v="15"/>
    <x v="4"/>
    <x v="6"/>
    <n v="4"/>
    <n v="250"/>
    <n v="1000"/>
    <n v="650"/>
    <n v="350"/>
  </r>
  <r>
    <s v="ORD254"/>
    <x v="184"/>
    <s v="Karan Gupta"/>
    <x v="0"/>
    <x v="10"/>
    <x v="4"/>
    <x v="14"/>
    <n v="8"/>
    <n v="300"/>
    <n v="2400"/>
    <n v="1560"/>
    <n v="840"/>
  </r>
  <r>
    <s v="ORD255"/>
    <x v="185"/>
    <s v="Arjun Kumar"/>
    <x v="2"/>
    <x v="8"/>
    <x v="1"/>
    <x v="26"/>
    <n v="8"/>
    <n v="35000"/>
    <n v="280000"/>
    <n v="218400"/>
    <n v="61600"/>
  </r>
  <r>
    <s v="ORD256"/>
    <x v="186"/>
    <s v="Rohit Mehta"/>
    <x v="3"/>
    <x v="6"/>
    <x v="0"/>
    <x v="28"/>
    <n v="4"/>
    <n v="12000"/>
    <n v="48000"/>
    <n v="39360"/>
    <n v="8640"/>
  </r>
  <r>
    <s v="ORD257"/>
    <x v="186"/>
    <s v="Pooja Nair"/>
    <x v="0"/>
    <x v="0"/>
    <x v="5"/>
    <x v="21"/>
    <n v="1"/>
    <n v="200"/>
    <n v="200"/>
    <n v="110.00000000000001"/>
    <n v="89.999999999999986"/>
  </r>
  <r>
    <s v="ORD258"/>
    <x v="187"/>
    <s v="Faisal Ahmed"/>
    <x v="0"/>
    <x v="0"/>
    <x v="0"/>
    <x v="28"/>
    <n v="8"/>
    <n v="12000"/>
    <n v="96000"/>
    <n v="78720"/>
    <n v="17280"/>
  </r>
  <r>
    <s v="ORD259"/>
    <x v="188"/>
    <s v="Karan Gupta"/>
    <x v="1"/>
    <x v="1"/>
    <x v="5"/>
    <x v="10"/>
    <n v="6"/>
    <n v="250"/>
    <n v="1500"/>
    <n v="825.00000000000011"/>
    <n v="674.99999999999989"/>
  </r>
  <r>
    <s v="ORD260"/>
    <x v="188"/>
    <s v="Amit Verma"/>
    <x v="0"/>
    <x v="2"/>
    <x v="4"/>
    <x v="14"/>
    <n v="7"/>
    <n v="300"/>
    <n v="2100"/>
    <n v="1365"/>
    <n v="735"/>
  </r>
  <r>
    <s v="ORD261"/>
    <x v="189"/>
    <s v="Neha Patel"/>
    <x v="0"/>
    <x v="10"/>
    <x v="4"/>
    <x v="22"/>
    <n v="2"/>
    <n v="500"/>
    <n v="1000"/>
    <n v="650"/>
    <n v="350"/>
  </r>
  <r>
    <s v="ORD262"/>
    <x v="190"/>
    <s v="Aisha Khan"/>
    <x v="1"/>
    <x v="1"/>
    <x v="1"/>
    <x v="26"/>
    <n v="2"/>
    <n v="35000"/>
    <n v="70000"/>
    <n v="54600"/>
    <n v="15400"/>
  </r>
  <r>
    <s v="ORD263"/>
    <x v="191"/>
    <s v="Neha Patel"/>
    <x v="2"/>
    <x v="8"/>
    <x v="0"/>
    <x v="4"/>
    <n v="6"/>
    <n v="2500"/>
    <n v="15000"/>
    <n v="12300"/>
    <n v="2700"/>
  </r>
  <r>
    <s v="ORD264"/>
    <x v="191"/>
    <s v="Divya Rao"/>
    <x v="1"/>
    <x v="1"/>
    <x v="1"/>
    <x v="13"/>
    <n v="2"/>
    <n v="8000"/>
    <n v="16000"/>
    <n v="12480"/>
    <n v="3520"/>
  </r>
  <r>
    <s v="ORD265"/>
    <x v="192"/>
    <s v="Faisal Ahmed"/>
    <x v="3"/>
    <x v="11"/>
    <x v="0"/>
    <x v="4"/>
    <n v="2"/>
    <n v="2500"/>
    <n v="5000"/>
    <n v="4100"/>
    <n v="900"/>
  </r>
  <r>
    <s v="ORD266"/>
    <x v="193"/>
    <s v="Karan Gupta"/>
    <x v="0"/>
    <x v="10"/>
    <x v="5"/>
    <x v="20"/>
    <n v="6"/>
    <n v="400"/>
    <n v="2400"/>
    <n v="1320"/>
    <n v="1080"/>
  </r>
  <r>
    <s v="ORD267"/>
    <x v="194"/>
    <s v="Riya Kapoor"/>
    <x v="3"/>
    <x v="9"/>
    <x v="0"/>
    <x v="1"/>
    <n v="8"/>
    <n v="55000"/>
    <n v="440000"/>
    <n v="360800"/>
    <n v="79200"/>
  </r>
  <r>
    <s v="ORD268"/>
    <x v="194"/>
    <s v="Arjun Kumar"/>
    <x v="3"/>
    <x v="9"/>
    <x v="3"/>
    <x v="24"/>
    <n v="7"/>
    <n v="2500"/>
    <n v="17500"/>
    <n v="10500"/>
    <n v="7000"/>
  </r>
  <r>
    <s v="ORD269"/>
    <x v="195"/>
    <s v="Amit Verma"/>
    <x v="3"/>
    <x v="11"/>
    <x v="4"/>
    <x v="29"/>
    <n v="1"/>
    <n v="600"/>
    <n v="600"/>
    <n v="390"/>
    <n v="210"/>
  </r>
  <r>
    <s v="ORD270"/>
    <x v="196"/>
    <s v="Divya Rao"/>
    <x v="3"/>
    <x v="9"/>
    <x v="0"/>
    <x v="28"/>
    <n v="8"/>
    <n v="12000"/>
    <n v="96000"/>
    <n v="78720"/>
    <n v="17280"/>
  </r>
  <r>
    <s v="ORD271"/>
    <x v="196"/>
    <s v="Rahul Sharma"/>
    <x v="1"/>
    <x v="5"/>
    <x v="3"/>
    <x v="23"/>
    <n v="4"/>
    <n v="1800"/>
    <n v="7200"/>
    <n v="4320"/>
    <n v="2880"/>
  </r>
  <r>
    <s v="ORD272"/>
    <x v="197"/>
    <s v="Priya Singh"/>
    <x v="0"/>
    <x v="2"/>
    <x v="2"/>
    <x v="7"/>
    <n v="7"/>
    <n v="6500"/>
    <n v="45500"/>
    <n v="32760"/>
    <n v="12740"/>
  </r>
  <r>
    <s v="ORD273"/>
    <x v="198"/>
    <s v="Faisal Ahmed"/>
    <x v="2"/>
    <x v="4"/>
    <x v="0"/>
    <x v="4"/>
    <n v="4"/>
    <n v="2500"/>
    <n v="10000"/>
    <n v="8200"/>
    <n v="1800"/>
  </r>
  <r>
    <s v="ORD274"/>
    <x v="199"/>
    <s v="Meera Iyer"/>
    <x v="3"/>
    <x v="15"/>
    <x v="1"/>
    <x v="16"/>
    <n v="4"/>
    <n v="12000"/>
    <n v="48000"/>
    <n v="37440"/>
    <n v="10560"/>
  </r>
  <r>
    <s v="ORD275"/>
    <x v="199"/>
    <s v="Priya Singh"/>
    <x v="2"/>
    <x v="8"/>
    <x v="1"/>
    <x v="16"/>
    <n v="7"/>
    <n v="12000"/>
    <n v="84000"/>
    <n v="65520"/>
    <n v="18480"/>
  </r>
  <r>
    <s v="ORD276"/>
    <x v="200"/>
    <s v="Sneha Rao"/>
    <x v="1"/>
    <x v="14"/>
    <x v="4"/>
    <x v="14"/>
    <n v="4"/>
    <n v="300"/>
    <n v="1200"/>
    <n v="780"/>
    <n v="420"/>
  </r>
  <r>
    <s v="ORD277"/>
    <x v="201"/>
    <s v="Neha Patel"/>
    <x v="1"/>
    <x v="13"/>
    <x v="0"/>
    <x v="4"/>
    <n v="3"/>
    <n v="2500"/>
    <n v="7500"/>
    <n v="6150"/>
    <n v="1350"/>
  </r>
  <r>
    <s v="ORD278"/>
    <x v="202"/>
    <s v="Arjun Kumar"/>
    <x v="1"/>
    <x v="5"/>
    <x v="3"/>
    <x v="5"/>
    <n v="6"/>
    <n v="1500"/>
    <n v="9000"/>
    <n v="5400"/>
    <n v="3600"/>
  </r>
  <r>
    <s v="ORD279"/>
    <x v="202"/>
    <s v="Priya Singh"/>
    <x v="0"/>
    <x v="3"/>
    <x v="3"/>
    <x v="12"/>
    <n v="3"/>
    <n v="500"/>
    <n v="1500"/>
    <n v="900"/>
    <n v="600"/>
  </r>
  <r>
    <s v="ORD280"/>
    <x v="203"/>
    <s v="Nisha Malhotra"/>
    <x v="2"/>
    <x v="8"/>
    <x v="5"/>
    <x v="21"/>
    <n v="5"/>
    <n v="200"/>
    <n v="1000"/>
    <n v="550"/>
    <n v="450"/>
  </r>
  <r>
    <s v="ORD281"/>
    <x v="204"/>
    <s v="Rohit Mehta"/>
    <x v="3"/>
    <x v="6"/>
    <x v="3"/>
    <x v="23"/>
    <n v="7"/>
    <n v="1800"/>
    <n v="12600"/>
    <n v="7560"/>
    <n v="5040"/>
  </r>
  <r>
    <s v="ORD282"/>
    <x v="204"/>
    <s v="Rohit Mehta"/>
    <x v="0"/>
    <x v="10"/>
    <x v="2"/>
    <x v="3"/>
    <n v="8"/>
    <n v="4500"/>
    <n v="36000"/>
    <n v="25920"/>
    <n v="10080"/>
  </r>
  <r>
    <s v="ORD283"/>
    <x v="205"/>
    <s v="Riya Kapoor"/>
    <x v="3"/>
    <x v="11"/>
    <x v="0"/>
    <x v="0"/>
    <n v="8"/>
    <n v="900"/>
    <n v="7200"/>
    <n v="5904"/>
    <n v="1296"/>
  </r>
  <r>
    <s v="ORD284"/>
    <x v="206"/>
    <s v="Divya Rao"/>
    <x v="0"/>
    <x v="10"/>
    <x v="1"/>
    <x v="13"/>
    <n v="7"/>
    <n v="8000"/>
    <n v="56000"/>
    <n v="43680"/>
    <n v="12320"/>
  </r>
  <r>
    <s v="ORD285"/>
    <x v="207"/>
    <s v="Vikram Shah"/>
    <x v="0"/>
    <x v="2"/>
    <x v="1"/>
    <x v="16"/>
    <n v="2"/>
    <n v="12000"/>
    <n v="24000"/>
    <n v="18720"/>
    <n v="5280"/>
  </r>
  <r>
    <s v="ORD286"/>
    <x v="207"/>
    <s v="Amit Verma"/>
    <x v="1"/>
    <x v="14"/>
    <x v="5"/>
    <x v="27"/>
    <n v="8"/>
    <n v="150"/>
    <n v="1200"/>
    <n v="660"/>
    <n v="540"/>
  </r>
  <r>
    <s v="ORD287"/>
    <x v="208"/>
    <s v="Sanjay Reddy"/>
    <x v="1"/>
    <x v="14"/>
    <x v="2"/>
    <x v="11"/>
    <n v="4"/>
    <n v="7500"/>
    <n v="30000"/>
    <n v="21600"/>
    <n v="8400"/>
  </r>
  <r>
    <s v="ORD288"/>
    <x v="209"/>
    <s v="Priya Singh"/>
    <x v="2"/>
    <x v="7"/>
    <x v="0"/>
    <x v="1"/>
    <n v="4"/>
    <n v="55000"/>
    <n v="220000"/>
    <n v="180400"/>
    <n v="39600"/>
  </r>
  <r>
    <s v="ORD289"/>
    <x v="210"/>
    <s v="Amit Verma"/>
    <x v="3"/>
    <x v="9"/>
    <x v="5"/>
    <x v="21"/>
    <n v="3"/>
    <n v="200"/>
    <n v="600"/>
    <n v="330"/>
    <n v="270"/>
  </r>
  <r>
    <s v="ORD290"/>
    <x v="210"/>
    <s v="Riya Kapoor"/>
    <x v="2"/>
    <x v="7"/>
    <x v="3"/>
    <x v="18"/>
    <n v="1"/>
    <n v="700"/>
    <n v="700"/>
    <n v="420"/>
    <n v="280"/>
  </r>
  <r>
    <s v="ORD291"/>
    <x v="211"/>
    <s v="Sanjay Reddy"/>
    <x v="1"/>
    <x v="1"/>
    <x v="3"/>
    <x v="12"/>
    <n v="4"/>
    <n v="500"/>
    <n v="2000"/>
    <n v="1200"/>
    <n v="800"/>
  </r>
  <r>
    <s v="ORD292"/>
    <x v="212"/>
    <s v="Vikram Shah"/>
    <x v="2"/>
    <x v="4"/>
    <x v="0"/>
    <x v="0"/>
    <n v="8"/>
    <n v="900"/>
    <n v="7200"/>
    <n v="5904"/>
    <n v="1296"/>
  </r>
  <r>
    <s v="ORD293"/>
    <x v="213"/>
    <s v="Rahul Sharma"/>
    <x v="1"/>
    <x v="14"/>
    <x v="5"/>
    <x v="10"/>
    <n v="7"/>
    <n v="250"/>
    <n v="1750"/>
    <n v="962.50000000000011"/>
    <n v="787.49999999999989"/>
  </r>
  <r>
    <s v="ORD294"/>
    <x v="213"/>
    <s v="Vikram Shah"/>
    <x v="2"/>
    <x v="7"/>
    <x v="2"/>
    <x v="3"/>
    <n v="8"/>
    <n v="4500"/>
    <n v="36000"/>
    <n v="25920"/>
    <n v="10080"/>
  </r>
  <r>
    <s v="ORD295"/>
    <x v="214"/>
    <s v="Sneha Rao"/>
    <x v="0"/>
    <x v="3"/>
    <x v="2"/>
    <x v="3"/>
    <n v="2"/>
    <n v="4500"/>
    <n v="9000"/>
    <n v="6480"/>
    <n v="2520"/>
  </r>
  <r>
    <s v="ORD296"/>
    <x v="215"/>
    <s v="Faisal Ahmed"/>
    <x v="1"/>
    <x v="1"/>
    <x v="5"/>
    <x v="10"/>
    <n v="8"/>
    <n v="250"/>
    <n v="2000"/>
    <n v="1100"/>
    <n v="900"/>
  </r>
  <r>
    <s v="ORD297"/>
    <x v="215"/>
    <s v="Sneha Rao"/>
    <x v="1"/>
    <x v="13"/>
    <x v="0"/>
    <x v="28"/>
    <n v="2"/>
    <n v="12000"/>
    <n v="24000"/>
    <n v="19680"/>
    <n v="4320"/>
  </r>
  <r>
    <s v="ORD298"/>
    <x v="216"/>
    <s v="Aisha Khan"/>
    <x v="3"/>
    <x v="9"/>
    <x v="1"/>
    <x v="16"/>
    <n v="5"/>
    <n v="12000"/>
    <n v="60000"/>
    <n v="46800"/>
    <n v="13200"/>
  </r>
  <r>
    <s v="ORD299"/>
    <x v="217"/>
    <s v="Rahul Sharma"/>
    <x v="0"/>
    <x v="2"/>
    <x v="4"/>
    <x v="14"/>
    <n v="7"/>
    <n v="300"/>
    <n v="2100"/>
    <n v="1365"/>
    <n v="735"/>
  </r>
  <r>
    <s v="ORD300"/>
    <x v="218"/>
    <s v="Faisal Ahmed"/>
    <x v="3"/>
    <x v="11"/>
    <x v="4"/>
    <x v="9"/>
    <n v="5"/>
    <n v="15000"/>
    <n v="75000"/>
    <n v="48750"/>
    <n v="26250"/>
  </r>
  <r>
    <s v="ORD301"/>
    <x v="218"/>
    <s v="Amit Verma"/>
    <x v="3"/>
    <x v="6"/>
    <x v="1"/>
    <x v="16"/>
    <n v="2"/>
    <n v="12000"/>
    <n v="24000"/>
    <n v="18720"/>
    <n v="5280"/>
  </r>
  <r>
    <s v="ORD302"/>
    <x v="219"/>
    <s v="Sneha Rao"/>
    <x v="1"/>
    <x v="1"/>
    <x v="3"/>
    <x v="5"/>
    <n v="6"/>
    <n v="1500"/>
    <n v="9000"/>
    <n v="5400"/>
    <n v="3600"/>
  </r>
  <r>
    <s v="ORD303"/>
    <x v="220"/>
    <s v="Anjali Singh"/>
    <x v="2"/>
    <x v="4"/>
    <x v="1"/>
    <x v="17"/>
    <n v="3"/>
    <n v="40000"/>
    <n v="120000"/>
    <n v="93600"/>
    <n v="26400"/>
  </r>
  <r>
    <s v="ORD304"/>
    <x v="221"/>
    <s v="Nisha Malhotra"/>
    <x v="3"/>
    <x v="11"/>
    <x v="0"/>
    <x v="1"/>
    <n v="5"/>
    <n v="55000"/>
    <n v="275000"/>
    <n v="225500"/>
    <n v="49500"/>
  </r>
  <r>
    <s v="ORD305"/>
    <x v="221"/>
    <s v="Rahul Sharma"/>
    <x v="2"/>
    <x v="4"/>
    <x v="0"/>
    <x v="19"/>
    <n v="1"/>
    <n v="1800"/>
    <n v="1800"/>
    <n v="1476"/>
    <n v="324"/>
  </r>
  <r>
    <s v="ORD306"/>
    <x v="222"/>
    <s v="Vikram Shah"/>
    <x v="2"/>
    <x v="12"/>
    <x v="0"/>
    <x v="19"/>
    <n v="2"/>
    <n v="1800"/>
    <n v="3600"/>
    <n v="2952"/>
    <n v="648"/>
  </r>
  <r>
    <s v="ORD307"/>
    <x v="223"/>
    <s v="Karan Gupta"/>
    <x v="3"/>
    <x v="11"/>
    <x v="1"/>
    <x v="16"/>
    <n v="6"/>
    <n v="12000"/>
    <n v="72000"/>
    <n v="56160"/>
    <n v="15840"/>
  </r>
  <r>
    <s v="ORD308"/>
    <x v="223"/>
    <s v="Riya Kapoor"/>
    <x v="0"/>
    <x v="2"/>
    <x v="4"/>
    <x v="14"/>
    <n v="6"/>
    <n v="300"/>
    <n v="1800"/>
    <n v="1170"/>
    <n v="630"/>
  </r>
  <r>
    <s v="ORD309"/>
    <x v="224"/>
    <s v="Sanjay Reddy"/>
    <x v="0"/>
    <x v="3"/>
    <x v="1"/>
    <x v="2"/>
    <n v="7"/>
    <n v="18000"/>
    <n v="126000"/>
    <n v="98280"/>
    <n v="27720"/>
  </r>
  <r>
    <s v="ORD310"/>
    <x v="225"/>
    <s v="Sanjay Reddy"/>
    <x v="2"/>
    <x v="4"/>
    <x v="2"/>
    <x v="7"/>
    <n v="4"/>
    <n v="6500"/>
    <n v="26000"/>
    <n v="18720"/>
    <n v="7280"/>
  </r>
  <r>
    <s v="ORD311"/>
    <x v="226"/>
    <s v="Anjali Singh"/>
    <x v="3"/>
    <x v="11"/>
    <x v="4"/>
    <x v="9"/>
    <n v="6"/>
    <n v="15000"/>
    <n v="90000"/>
    <n v="58500"/>
    <n v="31500"/>
  </r>
  <r>
    <s v="ORD312"/>
    <x v="226"/>
    <s v="Pooja Nair"/>
    <x v="1"/>
    <x v="13"/>
    <x v="2"/>
    <x v="11"/>
    <n v="7"/>
    <n v="7500"/>
    <n v="52500"/>
    <n v="37800"/>
    <n v="14700"/>
  </r>
  <r>
    <s v="ORD313"/>
    <x v="227"/>
    <s v="Nisha Malhotra"/>
    <x v="0"/>
    <x v="0"/>
    <x v="4"/>
    <x v="29"/>
    <n v="4"/>
    <n v="600"/>
    <n v="2400"/>
    <n v="1560"/>
    <n v="840"/>
  </r>
  <r>
    <s v="ORD314"/>
    <x v="228"/>
    <s v="Aditya Joshi"/>
    <x v="3"/>
    <x v="6"/>
    <x v="5"/>
    <x v="20"/>
    <n v="3"/>
    <n v="400"/>
    <n v="1200"/>
    <n v="660"/>
    <n v="540"/>
  </r>
  <r>
    <s v="ORD315"/>
    <x v="229"/>
    <s v="Arjun Kumar"/>
    <x v="1"/>
    <x v="14"/>
    <x v="4"/>
    <x v="9"/>
    <n v="8"/>
    <n v="15000"/>
    <n v="120000"/>
    <n v="78000"/>
    <n v="42000"/>
  </r>
  <r>
    <s v="ORD316"/>
    <x v="229"/>
    <s v="Divya Rao"/>
    <x v="0"/>
    <x v="2"/>
    <x v="4"/>
    <x v="9"/>
    <n v="3"/>
    <n v="15000"/>
    <n v="45000"/>
    <n v="29250"/>
    <n v="15750"/>
  </r>
  <r>
    <s v="ORD317"/>
    <x v="230"/>
    <s v="Sameer Khan"/>
    <x v="3"/>
    <x v="9"/>
    <x v="0"/>
    <x v="0"/>
    <n v="4"/>
    <n v="900"/>
    <n v="3600"/>
    <n v="2952"/>
    <n v="648"/>
  </r>
  <r>
    <s v="ORD318"/>
    <x v="231"/>
    <s v="Faisal Ahmed"/>
    <x v="2"/>
    <x v="4"/>
    <x v="4"/>
    <x v="6"/>
    <n v="3"/>
    <n v="250"/>
    <n v="750"/>
    <n v="487.5"/>
    <n v="262.5"/>
  </r>
  <r>
    <s v="ORD319"/>
    <x v="231"/>
    <s v="Anjali Singh"/>
    <x v="2"/>
    <x v="12"/>
    <x v="1"/>
    <x v="13"/>
    <n v="8"/>
    <n v="8000"/>
    <n v="64000"/>
    <n v="49920"/>
    <n v="14080"/>
  </r>
  <r>
    <s v="ORD320"/>
    <x v="232"/>
    <s v="Aditya Joshi"/>
    <x v="3"/>
    <x v="15"/>
    <x v="1"/>
    <x v="26"/>
    <n v="4"/>
    <n v="35000"/>
    <n v="140000"/>
    <n v="109200"/>
    <n v="30800"/>
  </r>
  <r>
    <s v="ORD321"/>
    <x v="233"/>
    <s v="Riya Kapoor"/>
    <x v="0"/>
    <x v="3"/>
    <x v="0"/>
    <x v="4"/>
    <n v="8"/>
    <n v="2500"/>
    <n v="20000"/>
    <n v="16400"/>
    <n v="3600"/>
  </r>
  <r>
    <s v="ORD322"/>
    <x v="234"/>
    <s v="Neha Patel"/>
    <x v="1"/>
    <x v="5"/>
    <x v="3"/>
    <x v="18"/>
    <n v="1"/>
    <n v="700"/>
    <n v="700"/>
    <n v="420"/>
    <n v="280"/>
  </r>
  <r>
    <s v="ORD323"/>
    <x v="234"/>
    <s v="Rahul Sharma"/>
    <x v="2"/>
    <x v="4"/>
    <x v="4"/>
    <x v="29"/>
    <n v="1"/>
    <n v="600"/>
    <n v="600"/>
    <n v="390"/>
    <n v="210"/>
  </r>
  <r>
    <s v="ORD324"/>
    <x v="235"/>
    <s v="Sanjay Reddy"/>
    <x v="2"/>
    <x v="7"/>
    <x v="2"/>
    <x v="3"/>
    <n v="7"/>
    <n v="4500"/>
    <n v="31500"/>
    <n v="22680"/>
    <n v="8820"/>
  </r>
  <r>
    <s v="ORD325"/>
    <x v="236"/>
    <s v="Faisal Ahmed"/>
    <x v="3"/>
    <x v="9"/>
    <x v="2"/>
    <x v="7"/>
    <n v="2"/>
    <n v="6500"/>
    <n v="13000"/>
    <n v="9360"/>
    <n v="3640"/>
  </r>
  <r>
    <s v="ORD326"/>
    <x v="237"/>
    <s v="Neha Patel"/>
    <x v="2"/>
    <x v="12"/>
    <x v="5"/>
    <x v="8"/>
    <n v="1"/>
    <n v="300"/>
    <n v="300"/>
    <n v="165"/>
    <n v="135"/>
  </r>
  <r>
    <s v="ORD327"/>
    <x v="237"/>
    <s v="Rohit Mehta"/>
    <x v="3"/>
    <x v="6"/>
    <x v="5"/>
    <x v="27"/>
    <n v="6"/>
    <n v="150"/>
    <n v="900"/>
    <n v="495.00000000000006"/>
    <n v="404.99999999999994"/>
  </r>
  <r>
    <s v="ORD328"/>
    <x v="238"/>
    <s v="Divya Rao"/>
    <x v="2"/>
    <x v="12"/>
    <x v="2"/>
    <x v="25"/>
    <n v="6"/>
    <n v="8500"/>
    <n v="51000"/>
    <n v="36720"/>
    <n v="14280"/>
  </r>
  <r>
    <s v="ORD329"/>
    <x v="239"/>
    <s v="Amit Verma"/>
    <x v="2"/>
    <x v="8"/>
    <x v="0"/>
    <x v="1"/>
    <n v="1"/>
    <n v="55000"/>
    <n v="55000"/>
    <n v="45100"/>
    <n v="9900"/>
  </r>
  <r>
    <s v="ORD330"/>
    <x v="239"/>
    <s v="Nisha Malhotra"/>
    <x v="3"/>
    <x v="15"/>
    <x v="5"/>
    <x v="20"/>
    <n v="5"/>
    <n v="400"/>
    <n v="2000"/>
    <n v="1100"/>
    <n v="900"/>
  </r>
  <r>
    <s v="ORD331"/>
    <x v="240"/>
    <s v="Rohit Mehta"/>
    <x v="3"/>
    <x v="6"/>
    <x v="5"/>
    <x v="10"/>
    <n v="3"/>
    <n v="250"/>
    <n v="750"/>
    <n v="412.50000000000006"/>
    <n v="337.49999999999994"/>
  </r>
  <r>
    <s v="ORD332"/>
    <x v="241"/>
    <s v="Sneha Rao"/>
    <x v="3"/>
    <x v="9"/>
    <x v="0"/>
    <x v="28"/>
    <n v="2"/>
    <n v="12000"/>
    <n v="24000"/>
    <n v="19680"/>
    <n v="4320"/>
  </r>
  <r>
    <s v="ORD333"/>
    <x v="242"/>
    <s v="Aditya Joshi"/>
    <x v="1"/>
    <x v="14"/>
    <x v="2"/>
    <x v="3"/>
    <n v="8"/>
    <n v="4500"/>
    <n v="36000"/>
    <n v="25920"/>
    <n v="10080"/>
  </r>
  <r>
    <s v="ORD334"/>
    <x v="242"/>
    <s v="Neha Patel"/>
    <x v="3"/>
    <x v="9"/>
    <x v="0"/>
    <x v="4"/>
    <n v="8"/>
    <n v="2500"/>
    <n v="20000"/>
    <n v="16400"/>
    <n v="3600"/>
  </r>
  <r>
    <s v="ORD335"/>
    <x v="243"/>
    <s v="Divya Rao"/>
    <x v="3"/>
    <x v="15"/>
    <x v="4"/>
    <x v="9"/>
    <n v="1"/>
    <n v="15000"/>
    <n v="15000"/>
    <n v="9750"/>
    <n v="5250"/>
  </r>
  <r>
    <s v="ORD336"/>
    <x v="244"/>
    <s v="Divya Rao"/>
    <x v="2"/>
    <x v="8"/>
    <x v="4"/>
    <x v="14"/>
    <n v="2"/>
    <n v="300"/>
    <n v="600"/>
    <n v="390"/>
    <n v="210"/>
  </r>
  <r>
    <s v="ORD337"/>
    <x v="245"/>
    <s v="Aisha Khan"/>
    <x v="0"/>
    <x v="0"/>
    <x v="2"/>
    <x v="11"/>
    <n v="5"/>
    <n v="7500"/>
    <n v="37500"/>
    <n v="27000"/>
    <n v="10500"/>
  </r>
  <r>
    <s v="ORD338"/>
    <x v="245"/>
    <s v="Rahul Sharma"/>
    <x v="0"/>
    <x v="2"/>
    <x v="1"/>
    <x v="16"/>
    <n v="3"/>
    <n v="12000"/>
    <n v="36000"/>
    <n v="28080"/>
    <n v="7920"/>
  </r>
  <r>
    <s v="ORD339"/>
    <x v="246"/>
    <s v="Meera Iyer"/>
    <x v="3"/>
    <x v="11"/>
    <x v="3"/>
    <x v="5"/>
    <n v="6"/>
    <n v="1500"/>
    <n v="9000"/>
    <n v="5400"/>
    <n v="3600"/>
  </r>
  <r>
    <s v="ORD340"/>
    <x v="247"/>
    <s v="Sameer Khan"/>
    <x v="1"/>
    <x v="1"/>
    <x v="0"/>
    <x v="28"/>
    <n v="4"/>
    <n v="12000"/>
    <n v="48000"/>
    <n v="39360"/>
    <n v="8640"/>
  </r>
  <r>
    <s v="ORD341"/>
    <x v="248"/>
    <s v="Priya Singh"/>
    <x v="2"/>
    <x v="8"/>
    <x v="3"/>
    <x v="24"/>
    <n v="8"/>
    <n v="2500"/>
    <n v="20000"/>
    <n v="12000"/>
    <n v="8000"/>
  </r>
  <r>
    <s v="ORD342"/>
    <x v="248"/>
    <s v="Amit Verma"/>
    <x v="2"/>
    <x v="4"/>
    <x v="1"/>
    <x v="16"/>
    <n v="4"/>
    <n v="12000"/>
    <n v="48000"/>
    <n v="37440"/>
    <n v="10560"/>
  </r>
  <r>
    <s v="ORD343"/>
    <x v="249"/>
    <s v="Karan Gupta"/>
    <x v="1"/>
    <x v="1"/>
    <x v="4"/>
    <x v="9"/>
    <n v="5"/>
    <n v="15000"/>
    <n v="75000"/>
    <n v="48750"/>
    <n v="26250"/>
  </r>
  <r>
    <s v="ORD344"/>
    <x v="250"/>
    <s v="Aisha Khan"/>
    <x v="2"/>
    <x v="4"/>
    <x v="4"/>
    <x v="14"/>
    <n v="8"/>
    <n v="300"/>
    <n v="2400"/>
    <n v="1560"/>
    <n v="840"/>
  </r>
  <r>
    <s v="ORD345"/>
    <x v="250"/>
    <s v="Priya Singh"/>
    <x v="1"/>
    <x v="5"/>
    <x v="4"/>
    <x v="14"/>
    <n v="1"/>
    <n v="300"/>
    <n v="300"/>
    <n v="195"/>
    <n v="105"/>
  </r>
  <r>
    <s v="ORD346"/>
    <x v="251"/>
    <s v="Meera Iyer"/>
    <x v="1"/>
    <x v="5"/>
    <x v="2"/>
    <x v="15"/>
    <n v="4"/>
    <n v="28000"/>
    <n v="112000"/>
    <n v="80640"/>
    <n v="31360"/>
  </r>
  <r>
    <s v="ORD347"/>
    <x v="252"/>
    <s v="Vikram Shah"/>
    <x v="2"/>
    <x v="12"/>
    <x v="1"/>
    <x v="16"/>
    <n v="5"/>
    <n v="12000"/>
    <n v="60000"/>
    <n v="46800"/>
    <n v="13200"/>
  </r>
  <r>
    <s v="ORD348"/>
    <x v="253"/>
    <s v="Meera Iyer"/>
    <x v="1"/>
    <x v="13"/>
    <x v="1"/>
    <x v="13"/>
    <n v="4"/>
    <n v="8000"/>
    <n v="32000"/>
    <n v="24960"/>
    <n v="7040"/>
  </r>
  <r>
    <s v="ORD349"/>
    <x v="253"/>
    <s v="Karan Gupta"/>
    <x v="1"/>
    <x v="13"/>
    <x v="2"/>
    <x v="11"/>
    <n v="6"/>
    <n v="7500"/>
    <n v="45000"/>
    <n v="32400"/>
    <n v="12600"/>
  </r>
  <r>
    <s v="ORD350"/>
    <x v="254"/>
    <s v="Aditya Joshi"/>
    <x v="2"/>
    <x v="7"/>
    <x v="3"/>
    <x v="24"/>
    <n v="5"/>
    <n v="2500"/>
    <n v="12500"/>
    <n v="7500"/>
    <n v="5000"/>
  </r>
  <r>
    <s v="ORD351"/>
    <x v="255"/>
    <s v="Aditya Joshi"/>
    <x v="0"/>
    <x v="2"/>
    <x v="0"/>
    <x v="28"/>
    <n v="6"/>
    <n v="12000"/>
    <n v="72000"/>
    <n v="59040"/>
    <n v="12960"/>
  </r>
  <r>
    <s v="ORD352"/>
    <x v="256"/>
    <s v="Rahul Sharma"/>
    <x v="0"/>
    <x v="3"/>
    <x v="2"/>
    <x v="15"/>
    <n v="3"/>
    <n v="28000"/>
    <n v="84000"/>
    <n v="60480"/>
    <n v="23520"/>
  </r>
  <r>
    <s v="ORD353"/>
    <x v="256"/>
    <s v="Amit Verma"/>
    <x v="3"/>
    <x v="9"/>
    <x v="5"/>
    <x v="8"/>
    <n v="6"/>
    <n v="300"/>
    <n v="1800"/>
    <n v="990.00000000000011"/>
    <n v="809.99999999999989"/>
  </r>
  <r>
    <s v="ORD354"/>
    <x v="257"/>
    <s v="Pooja Nair"/>
    <x v="3"/>
    <x v="9"/>
    <x v="1"/>
    <x v="13"/>
    <n v="2"/>
    <n v="8000"/>
    <n v="16000"/>
    <n v="12480"/>
    <n v="3520"/>
  </r>
  <r>
    <s v="ORD355"/>
    <x v="258"/>
    <s v="Arjun Kumar"/>
    <x v="0"/>
    <x v="0"/>
    <x v="3"/>
    <x v="23"/>
    <n v="4"/>
    <n v="1800"/>
    <n v="7200"/>
    <n v="4320"/>
    <n v="2880"/>
  </r>
  <r>
    <s v="ORD356"/>
    <x v="258"/>
    <s v="Rohit Mehta"/>
    <x v="0"/>
    <x v="2"/>
    <x v="0"/>
    <x v="4"/>
    <n v="6"/>
    <n v="2500"/>
    <n v="15000"/>
    <n v="12300"/>
    <n v="2700"/>
  </r>
  <r>
    <s v="ORD357"/>
    <x v="259"/>
    <s v="Sameer Khan"/>
    <x v="3"/>
    <x v="9"/>
    <x v="5"/>
    <x v="20"/>
    <n v="7"/>
    <n v="400"/>
    <n v="2800"/>
    <n v="1540.0000000000002"/>
    <n v="1259.9999999999998"/>
  </r>
  <r>
    <s v="ORD358"/>
    <x v="260"/>
    <s v="Anjali Singh"/>
    <x v="0"/>
    <x v="3"/>
    <x v="5"/>
    <x v="27"/>
    <n v="3"/>
    <n v="150"/>
    <n v="450"/>
    <n v="247.50000000000003"/>
    <n v="202.49999999999997"/>
  </r>
  <r>
    <s v="ORD359"/>
    <x v="261"/>
    <s v="Amit Verma"/>
    <x v="2"/>
    <x v="8"/>
    <x v="3"/>
    <x v="12"/>
    <n v="3"/>
    <n v="500"/>
    <n v="1500"/>
    <n v="900"/>
    <n v="600"/>
  </r>
  <r>
    <s v="ORD360"/>
    <x v="261"/>
    <s v="Meera Iyer"/>
    <x v="1"/>
    <x v="14"/>
    <x v="2"/>
    <x v="11"/>
    <n v="7"/>
    <n v="7500"/>
    <n v="52500"/>
    <n v="37800"/>
    <n v="14700"/>
  </r>
  <r>
    <s v="ORD361"/>
    <x v="262"/>
    <s v="Riya Kapoor"/>
    <x v="2"/>
    <x v="8"/>
    <x v="5"/>
    <x v="27"/>
    <n v="6"/>
    <n v="150"/>
    <n v="900"/>
    <n v="495.00000000000006"/>
    <n v="404.99999999999994"/>
  </r>
  <r>
    <s v="ORD362"/>
    <x v="263"/>
    <s v="Aditya Joshi"/>
    <x v="1"/>
    <x v="14"/>
    <x v="4"/>
    <x v="6"/>
    <n v="2"/>
    <n v="250"/>
    <n v="500"/>
    <n v="325"/>
    <n v="175"/>
  </r>
  <r>
    <s v="ORD363"/>
    <x v="264"/>
    <s v="Rahul Sharma"/>
    <x v="1"/>
    <x v="1"/>
    <x v="3"/>
    <x v="5"/>
    <n v="2"/>
    <n v="1500"/>
    <n v="3000"/>
    <n v="1800"/>
    <n v="1200"/>
  </r>
  <r>
    <s v="ORD364"/>
    <x v="264"/>
    <s v="Riya Kapoor"/>
    <x v="0"/>
    <x v="0"/>
    <x v="5"/>
    <x v="27"/>
    <n v="6"/>
    <n v="150"/>
    <n v="900"/>
    <n v="495.00000000000006"/>
    <n v="404.99999999999994"/>
  </r>
  <r>
    <s v="ORD365"/>
    <x v="265"/>
    <s v="Anjali Singh"/>
    <x v="0"/>
    <x v="10"/>
    <x v="5"/>
    <x v="21"/>
    <n v="4"/>
    <n v="200"/>
    <n v="800"/>
    <n v="440.00000000000006"/>
    <n v="359.99999999999994"/>
  </r>
  <r>
    <s v="ORD366"/>
    <x v="266"/>
    <s v="Sanjay Reddy"/>
    <x v="1"/>
    <x v="5"/>
    <x v="1"/>
    <x v="13"/>
    <n v="7"/>
    <n v="8000"/>
    <n v="56000"/>
    <n v="43680"/>
    <n v="12320"/>
  </r>
  <r>
    <s v="ORD367"/>
    <x v="266"/>
    <s v="Rahul Sharma"/>
    <x v="2"/>
    <x v="12"/>
    <x v="4"/>
    <x v="29"/>
    <n v="4"/>
    <n v="600"/>
    <n v="2400"/>
    <n v="1560"/>
    <n v="840"/>
  </r>
  <r>
    <s v="ORD368"/>
    <x v="267"/>
    <s v="Rohit Mehta"/>
    <x v="2"/>
    <x v="8"/>
    <x v="5"/>
    <x v="20"/>
    <n v="4"/>
    <n v="400"/>
    <n v="1600"/>
    <n v="880.00000000000011"/>
    <n v="719.99999999999989"/>
  </r>
  <r>
    <s v="ORD369"/>
    <x v="268"/>
    <s v="Rohit Mehta"/>
    <x v="1"/>
    <x v="1"/>
    <x v="1"/>
    <x v="26"/>
    <n v="4"/>
    <n v="35000"/>
    <n v="140000"/>
    <n v="109200"/>
    <n v="30800"/>
  </r>
  <r>
    <s v="ORD370"/>
    <x v="269"/>
    <s v="Sneha Rao"/>
    <x v="1"/>
    <x v="5"/>
    <x v="5"/>
    <x v="21"/>
    <n v="7"/>
    <n v="200"/>
    <n v="1400"/>
    <n v="770.00000000000011"/>
    <n v="629.99999999999989"/>
  </r>
  <r>
    <s v="ORD371"/>
    <x v="269"/>
    <s v="Karan Gupta"/>
    <x v="3"/>
    <x v="9"/>
    <x v="2"/>
    <x v="3"/>
    <n v="1"/>
    <n v="4500"/>
    <n v="4500"/>
    <n v="3240"/>
    <n v="1260"/>
  </r>
  <r>
    <s v="ORD372"/>
    <x v="270"/>
    <s v="Sneha Rao"/>
    <x v="2"/>
    <x v="8"/>
    <x v="5"/>
    <x v="27"/>
    <n v="7"/>
    <n v="150"/>
    <n v="1050"/>
    <n v="577.5"/>
    <n v="472.5"/>
  </r>
  <r>
    <s v="ORD373"/>
    <x v="271"/>
    <s v="Priya Singh"/>
    <x v="2"/>
    <x v="7"/>
    <x v="4"/>
    <x v="9"/>
    <n v="8"/>
    <n v="15000"/>
    <n v="120000"/>
    <n v="78000"/>
    <n v="42000"/>
  </r>
  <r>
    <s v="ORD374"/>
    <x v="272"/>
    <s v="Rohit Mehta"/>
    <x v="1"/>
    <x v="1"/>
    <x v="5"/>
    <x v="21"/>
    <n v="2"/>
    <n v="200"/>
    <n v="400"/>
    <n v="220.00000000000003"/>
    <n v="179.99999999999997"/>
  </r>
  <r>
    <s v="ORD375"/>
    <x v="272"/>
    <s v="Aisha Khan"/>
    <x v="3"/>
    <x v="11"/>
    <x v="0"/>
    <x v="19"/>
    <n v="8"/>
    <n v="1800"/>
    <n v="14400"/>
    <n v="11808"/>
    <n v="2592"/>
  </r>
  <r>
    <s v="ORD376"/>
    <x v="273"/>
    <s v="Karan Gupta"/>
    <x v="3"/>
    <x v="6"/>
    <x v="0"/>
    <x v="4"/>
    <n v="7"/>
    <n v="2500"/>
    <n v="17500"/>
    <n v="14350"/>
    <n v="3150"/>
  </r>
  <r>
    <s v="ORD377"/>
    <x v="274"/>
    <s v="Amit Verma"/>
    <x v="1"/>
    <x v="13"/>
    <x v="5"/>
    <x v="21"/>
    <n v="8"/>
    <n v="200"/>
    <n v="1600"/>
    <n v="880.00000000000011"/>
    <n v="719.99999999999989"/>
  </r>
  <r>
    <s v="ORD378"/>
    <x v="275"/>
    <s v="Pooja Nair"/>
    <x v="1"/>
    <x v="5"/>
    <x v="5"/>
    <x v="10"/>
    <n v="5"/>
    <n v="250"/>
    <n v="1250"/>
    <n v="687.5"/>
    <n v="562.5"/>
  </r>
  <r>
    <s v="ORD379"/>
    <x v="275"/>
    <s v="Priya Singh"/>
    <x v="1"/>
    <x v="13"/>
    <x v="4"/>
    <x v="6"/>
    <n v="2"/>
    <n v="250"/>
    <n v="500"/>
    <n v="325"/>
    <n v="175"/>
  </r>
  <r>
    <s v="ORD380"/>
    <x v="276"/>
    <s v="Anjali Singh"/>
    <x v="0"/>
    <x v="10"/>
    <x v="0"/>
    <x v="28"/>
    <n v="3"/>
    <n v="12000"/>
    <n v="36000"/>
    <n v="29520"/>
    <n v="6480"/>
  </r>
  <r>
    <s v="ORD381"/>
    <x v="277"/>
    <s v="Sneha Rao"/>
    <x v="3"/>
    <x v="9"/>
    <x v="3"/>
    <x v="18"/>
    <n v="3"/>
    <n v="700"/>
    <n v="2100"/>
    <n v="1260"/>
    <n v="840"/>
  </r>
  <r>
    <s v="ORD382"/>
    <x v="277"/>
    <s v="Arjun Kumar"/>
    <x v="0"/>
    <x v="3"/>
    <x v="0"/>
    <x v="19"/>
    <n v="1"/>
    <n v="1800"/>
    <n v="1800"/>
    <n v="1476"/>
    <n v="324"/>
  </r>
  <r>
    <s v="ORD383"/>
    <x v="278"/>
    <s v="Anjali Singh"/>
    <x v="3"/>
    <x v="15"/>
    <x v="0"/>
    <x v="1"/>
    <n v="8"/>
    <n v="55000"/>
    <n v="440000"/>
    <n v="360800"/>
    <n v="79200"/>
  </r>
  <r>
    <s v="ORD384"/>
    <x v="279"/>
    <s v="Sameer Khan"/>
    <x v="1"/>
    <x v="13"/>
    <x v="4"/>
    <x v="14"/>
    <n v="3"/>
    <n v="300"/>
    <n v="900"/>
    <n v="585"/>
    <n v="315"/>
  </r>
  <r>
    <s v="ORD385"/>
    <x v="280"/>
    <s v="Rohit Mehta"/>
    <x v="2"/>
    <x v="4"/>
    <x v="5"/>
    <x v="20"/>
    <n v="4"/>
    <n v="400"/>
    <n v="1600"/>
    <n v="880.00000000000011"/>
    <n v="719.99999999999989"/>
  </r>
  <r>
    <s v="ORD386"/>
    <x v="280"/>
    <s v="Rahul Sharma"/>
    <x v="1"/>
    <x v="13"/>
    <x v="2"/>
    <x v="25"/>
    <n v="2"/>
    <n v="8500"/>
    <n v="17000"/>
    <n v="12240"/>
    <n v="4760"/>
  </r>
  <r>
    <s v="ORD387"/>
    <x v="281"/>
    <s v="Karan Gupta"/>
    <x v="3"/>
    <x v="15"/>
    <x v="5"/>
    <x v="21"/>
    <n v="4"/>
    <n v="200"/>
    <n v="800"/>
    <n v="440.00000000000006"/>
    <n v="359.99999999999994"/>
  </r>
  <r>
    <s v="ORD388"/>
    <x v="282"/>
    <s v="Amit Verma"/>
    <x v="3"/>
    <x v="11"/>
    <x v="3"/>
    <x v="12"/>
    <n v="4"/>
    <n v="500"/>
    <n v="2000"/>
    <n v="1200"/>
    <n v="800"/>
  </r>
  <r>
    <s v="ORD389"/>
    <x v="283"/>
    <s v="Faisal Ahmed"/>
    <x v="1"/>
    <x v="1"/>
    <x v="3"/>
    <x v="18"/>
    <n v="4"/>
    <n v="700"/>
    <n v="2800"/>
    <n v="1680"/>
    <n v="1120"/>
  </r>
  <r>
    <s v="ORD390"/>
    <x v="283"/>
    <s v="Amit Verma"/>
    <x v="0"/>
    <x v="3"/>
    <x v="3"/>
    <x v="5"/>
    <n v="1"/>
    <n v="1500"/>
    <n v="1500"/>
    <n v="900"/>
    <n v="600"/>
  </r>
  <r>
    <s v="ORD391"/>
    <x v="284"/>
    <s v="Divya Rao"/>
    <x v="1"/>
    <x v="1"/>
    <x v="3"/>
    <x v="5"/>
    <n v="5"/>
    <n v="1500"/>
    <n v="7500"/>
    <n v="4500"/>
    <n v="3000"/>
  </r>
  <r>
    <s v="ORD392"/>
    <x v="285"/>
    <s v="Aditya Joshi"/>
    <x v="1"/>
    <x v="13"/>
    <x v="4"/>
    <x v="9"/>
    <n v="3"/>
    <n v="15000"/>
    <n v="45000"/>
    <n v="29250"/>
    <n v="15750"/>
  </r>
  <r>
    <s v="ORD393"/>
    <x v="285"/>
    <s v="Anjali Singh"/>
    <x v="2"/>
    <x v="7"/>
    <x v="4"/>
    <x v="22"/>
    <n v="2"/>
    <n v="500"/>
    <n v="1000"/>
    <n v="650"/>
    <n v="350"/>
  </r>
  <r>
    <s v="ORD394"/>
    <x v="286"/>
    <s v="Vikram Shah"/>
    <x v="3"/>
    <x v="15"/>
    <x v="0"/>
    <x v="1"/>
    <n v="7"/>
    <n v="55000"/>
    <n v="385000"/>
    <n v="315700"/>
    <n v="69300"/>
  </r>
  <r>
    <s v="ORD395"/>
    <x v="287"/>
    <s v="Vikram Shah"/>
    <x v="3"/>
    <x v="15"/>
    <x v="4"/>
    <x v="14"/>
    <n v="5"/>
    <n v="300"/>
    <n v="1500"/>
    <n v="975"/>
    <n v="525"/>
  </r>
  <r>
    <s v="ORD396"/>
    <x v="288"/>
    <s v="Vikram Shah"/>
    <x v="0"/>
    <x v="3"/>
    <x v="1"/>
    <x v="2"/>
    <n v="3"/>
    <n v="18000"/>
    <n v="54000"/>
    <n v="42120"/>
    <n v="11880"/>
  </r>
  <r>
    <s v="ORD397"/>
    <x v="288"/>
    <s v="Sneha Rao"/>
    <x v="2"/>
    <x v="8"/>
    <x v="4"/>
    <x v="29"/>
    <n v="3"/>
    <n v="600"/>
    <n v="1800"/>
    <n v="1170"/>
    <n v="630"/>
  </r>
  <r>
    <s v="ORD398"/>
    <x v="289"/>
    <s v="Priya Singh"/>
    <x v="2"/>
    <x v="8"/>
    <x v="0"/>
    <x v="19"/>
    <n v="8"/>
    <n v="1800"/>
    <n v="14400"/>
    <n v="11808"/>
    <n v="2592"/>
  </r>
  <r>
    <s v="ORD399"/>
    <x v="290"/>
    <s v="Pooja Nair"/>
    <x v="1"/>
    <x v="5"/>
    <x v="2"/>
    <x v="15"/>
    <n v="4"/>
    <n v="28000"/>
    <n v="112000"/>
    <n v="80640"/>
    <n v="31360"/>
  </r>
  <r>
    <s v="ORD400"/>
    <x v="291"/>
    <s v="Anjali Singh"/>
    <x v="3"/>
    <x v="6"/>
    <x v="0"/>
    <x v="4"/>
    <n v="2"/>
    <n v="2500"/>
    <n v="5000"/>
    <n v="4100"/>
    <n v="900"/>
  </r>
  <r>
    <s v="ORD401"/>
    <x v="291"/>
    <s v="Arjun Kumar"/>
    <x v="1"/>
    <x v="14"/>
    <x v="1"/>
    <x v="16"/>
    <n v="6"/>
    <n v="12000"/>
    <n v="72000"/>
    <n v="56160"/>
    <n v="15840"/>
  </r>
  <r>
    <s v="ORD402"/>
    <x v="292"/>
    <s v="Vikram Shah"/>
    <x v="1"/>
    <x v="5"/>
    <x v="5"/>
    <x v="10"/>
    <n v="3"/>
    <n v="250"/>
    <n v="750"/>
    <n v="412.50000000000006"/>
    <n v="337.49999999999994"/>
  </r>
  <r>
    <s v="ORD403"/>
    <x v="293"/>
    <s v="Meera Iyer"/>
    <x v="3"/>
    <x v="6"/>
    <x v="0"/>
    <x v="19"/>
    <n v="8"/>
    <n v="1800"/>
    <n v="14400"/>
    <n v="11808"/>
    <n v="2592"/>
  </r>
  <r>
    <s v="ORD404"/>
    <x v="293"/>
    <s v="Pooja Nair"/>
    <x v="2"/>
    <x v="7"/>
    <x v="2"/>
    <x v="3"/>
    <n v="2"/>
    <n v="4500"/>
    <n v="9000"/>
    <n v="6480"/>
    <n v="2520"/>
  </r>
  <r>
    <s v="ORD405"/>
    <x v="294"/>
    <s v="Karan Gupta"/>
    <x v="3"/>
    <x v="15"/>
    <x v="1"/>
    <x v="2"/>
    <n v="5"/>
    <n v="18000"/>
    <n v="90000"/>
    <n v="70200"/>
    <n v="19800"/>
  </r>
  <r>
    <s v="ORD406"/>
    <x v="295"/>
    <s v="Sanjay Reddy"/>
    <x v="2"/>
    <x v="12"/>
    <x v="0"/>
    <x v="4"/>
    <n v="5"/>
    <n v="2500"/>
    <n v="12500"/>
    <n v="10250"/>
    <n v="2250"/>
  </r>
  <r>
    <s v="ORD407"/>
    <x v="296"/>
    <s v="Aisha Khan"/>
    <x v="1"/>
    <x v="1"/>
    <x v="2"/>
    <x v="11"/>
    <n v="1"/>
    <n v="7500"/>
    <n v="7500"/>
    <n v="5400"/>
    <n v="2100"/>
  </r>
  <r>
    <s v="ORD408"/>
    <x v="296"/>
    <s v="Neha Patel"/>
    <x v="3"/>
    <x v="15"/>
    <x v="3"/>
    <x v="18"/>
    <n v="2"/>
    <n v="700"/>
    <n v="1400"/>
    <n v="840"/>
    <n v="560"/>
  </r>
  <r>
    <s v="ORD409"/>
    <x v="297"/>
    <s v="Amit Verma"/>
    <x v="1"/>
    <x v="1"/>
    <x v="2"/>
    <x v="11"/>
    <n v="6"/>
    <n v="7500"/>
    <n v="45000"/>
    <n v="32400"/>
    <n v="12600"/>
  </r>
  <r>
    <s v="ORD410"/>
    <x v="298"/>
    <s v="Nisha Malhotra"/>
    <x v="2"/>
    <x v="8"/>
    <x v="4"/>
    <x v="9"/>
    <n v="6"/>
    <n v="15000"/>
    <n v="90000"/>
    <n v="58500"/>
    <n v="31500"/>
  </r>
  <r>
    <s v="ORD411"/>
    <x v="299"/>
    <s v="Meera Iyer"/>
    <x v="0"/>
    <x v="3"/>
    <x v="2"/>
    <x v="11"/>
    <n v="1"/>
    <n v="7500"/>
    <n v="7500"/>
    <n v="5400"/>
    <n v="2100"/>
  </r>
  <r>
    <s v="ORD412"/>
    <x v="299"/>
    <s v="Rohit Mehta"/>
    <x v="3"/>
    <x v="9"/>
    <x v="4"/>
    <x v="22"/>
    <n v="7"/>
    <n v="500"/>
    <n v="3500"/>
    <n v="2275"/>
    <n v="1225"/>
  </r>
  <r>
    <s v="ORD413"/>
    <x v="300"/>
    <s v="Sneha Rao"/>
    <x v="0"/>
    <x v="0"/>
    <x v="1"/>
    <x v="13"/>
    <n v="7"/>
    <n v="8000"/>
    <n v="56000"/>
    <n v="43680"/>
    <n v="12320"/>
  </r>
  <r>
    <s v="ORD414"/>
    <x v="301"/>
    <s v="Amit Verma"/>
    <x v="1"/>
    <x v="5"/>
    <x v="4"/>
    <x v="9"/>
    <n v="3"/>
    <n v="15000"/>
    <n v="45000"/>
    <n v="29250"/>
    <n v="15750"/>
  </r>
  <r>
    <s v="ORD415"/>
    <x v="301"/>
    <s v="Sneha Rao"/>
    <x v="1"/>
    <x v="1"/>
    <x v="0"/>
    <x v="1"/>
    <n v="2"/>
    <n v="55000"/>
    <n v="110000"/>
    <n v="90200"/>
    <n v="19800"/>
  </r>
  <r>
    <s v="ORD416"/>
    <x v="302"/>
    <s v="Aisha Khan"/>
    <x v="0"/>
    <x v="3"/>
    <x v="1"/>
    <x v="26"/>
    <n v="3"/>
    <n v="35000"/>
    <n v="105000"/>
    <n v="81900"/>
    <n v="23100"/>
  </r>
  <r>
    <s v="ORD417"/>
    <x v="303"/>
    <s v="Meera Iyer"/>
    <x v="0"/>
    <x v="0"/>
    <x v="1"/>
    <x v="17"/>
    <n v="7"/>
    <n v="40000"/>
    <n v="280000"/>
    <n v="218400"/>
    <n v="61600"/>
  </r>
  <r>
    <s v="ORD418"/>
    <x v="304"/>
    <s v="Aditya Joshi"/>
    <x v="3"/>
    <x v="11"/>
    <x v="4"/>
    <x v="6"/>
    <n v="7"/>
    <n v="250"/>
    <n v="1750"/>
    <n v="1137.5"/>
    <n v="612.5"/>
  </r>
  <r>
    <s v="ORD419"/>
    <x v="304"/>
    <s v="Anjali Singh"/>
    <x v="3"/>
    <x v="15"/>
    <x v="0"/>
    <x v="0"/>
    <n v="2"/>
    <n v="900"/>
    <n v="1800"/>
    <n v="1476"/>
    <n v="324"/>
  </r>
  <r>
    <s v="ORD420"/>
    <x v="305"/>
    <s v="Anjali Singh"/>
    <x v="0"/>
    <x v="10"/>
    <x v="2"/>
    <x v="15"/>
    <n v="8"/>
    <n v="28000"/>
    <n v="224000"/>
    <n v="161280"/>
    <n v="62720"/>
  </r>
  <r>
    <s v="ORD421"/>
    <x v="306"/>
    <s v="Riya Kapoor"/>
    <x v="2"/>
    <x v="8"/>
    <x v="2"/>
    <x v="15"/>
    <n v="3"/>
    <n v="28000"/>
    <n v="84000"/>
    <n v="60480"/>
    <n v="23520"/>
  </r>
  <r>
    <s v="ORD422"/>
    <x v="307"/>
    <s v="Vikram Shah"/>
    <x v="1"/>
    <x v="1"/>
    <x v="4"/>
    <x v="6"/>
    <n v="5"/>
    <n v="250"/>
    <n v="1250"/>
    <n v="812.5"/>
    <n v="437.5"/>
  </r>
  <r>
    <s v="ORD423"/>
    <x v="307"/>
    <s v="Rahul Sharma"/>
    <x v="0"/>
    <x v="2"/>
    <x v="2"/>
    <x v="15"/>
    <n v="8"/>
    <n v="28000"/>
    <n v="224000"/>
    <n v="161280"/>
    <n v="62720"/>
  </r>
  <r>
    <s v="ORD424"/>
    <x v="308"/>
    <s v="Arjun Kumar"/>
    <x v="2"/>
    <x v="8"/>
    <x v="0"/>
    <x v="1"/>
    <n v="3"/>
    <n v="55000"/>
    <n v="165000"/>
    <n v="135300"/>
    <n v="29700"/>
  </r>
  <r>
    <s v="ORD425"/>
    <x v="309"/>
    <s v="Meera Iyer"/>
    <x v="3"/>
    <x v="6"/>
    <x v="1"/>
    <x v="2"/>
    <n v="4"/>
    <n v="18000"/>
    <n v="72000"/>
    <n v="56160"/>
    <n v="15840"/>
  </r>
  <r>
    <s v="ORD426"/>
    <x v="310"/>
    <s v="Rohit Mehta"/>
    <x v="2"/>
    <x v="12"/>
    <x v="2"/>
    <x v="25"/>
    <n v="4"/>
    <n v="8500"/>
    <n v="34000"/>
    <n v="24480"/>
    <n v="9520"/>
  </r>
  <r>
    <s v="ORD427"/>
    <x v="310"/>
    <s v="Karan Gupta"/>
    <x v="3"/>
    <x v="15"/>
    <x v="4"/>
    <x v="22"/>
    <n v="8"/>
    <n v="500"/>
    <n v="4000"/>
    <n v="2600"/>
    <n v="1400"/>
  </r>
  <r>
    <s v="ORD428"/>
    <x v="311"/>
    <s v="Neha Patel"/>
    <x v="3"/>
    <x v="11"/>
    <x v="2"/>
    <x v="7"/>
    <n v="3"/>
    <n v="6500"/>
    <n v="19500"/>
    <n v="14040"/>
    <n v="5460"/>
  </r>
  <r>
    <s v="ORD429"/>
    <x v="312"/>
    <s v="Sanjay Reddy"/>
    <x v="1"/>
    <x v="14"/>
    <x v="4"/>
    <x v="6"/>
    <n v="5"/>
    <n v="250"/>
    <n v="1250"/>
    <n v="812.5"/>
    <n v="437.5"/>
  </r>
  <r>
    <s v="ORD430"/>
    <x v="312"/>
    <s v="Anjali Singh"/>
    <x v="1"/>
    <x v="5"/>
    <x v="3"/>
    <x v="24"/>
    <n v="3"/>
    <n v="2500"/>
    <n v="7500"/>
    <n v="4500"/>
    <n v="3000"/>
  </r>
  <r>
    <s v="ORD431"/>
    <x v="313"/>
    <s v="Faisal Ahmed"/>
    <x v="0"/>
    <x v="3"/>
    <x v="2"/>
    <x v="11"/>
    <n v="6"/>
    <n v="7500"/>
    <n v="45000"/>
    <n v="32400"/>
    <n v="12600"/>
  </r>
  <r>
    <s v="ORD432"/>
    <x v="314"/>
    <s v="Aisha Khan"/>
    <x v="2"/>
    <x v="4"/>
    <x v="4"/>
    <x v="22"/>
    <n v="3"/>
    <n v="500"/>
    <n v="1500"/>
    <n v="975"/>
    <n v="525"/>
  </r>
  <r>
    <s v="ORD433"/>
    <x v="315"/>
    <s v="Arjun Kumar"/>
    <x v="3"/>
    <x v="15"/>
    <x v="1"/>
    <x v="16"/>
    <n v="1"/>
    <n v="12000"/>
    <n v="12000"/>
    <n v="9360"/>
    <n v="2640"/>
  </r>
  <r>
    <s v="ORD434"/>
    <x v="315"/>
    <s v="Priya Singh"/>
    <x v="1"/>
    <x v="14"/>
    <x v="0"/>
    <x v="19"/>
    <n v="2"/>
    <n v="1800"/>
    <n v="3600"/>
    <n v="2952"/>
    <n v="648"/>
  </r>
  <r>
    <s v="ORD435"/>
    <x v="316"/>
    <s v="Faisal Ahmed"/>
    <x v="3"/>
    <x v="6"/>
    <x v="5"/>
    <x v="27"/>
    <n v="4"/>
    <n v="150"/>
    <n v="600"/>
    <n v="330"/>
    <n v="270"/>
  </r>
  <r>
    <s v="ORD436"/>
    <x v="317"/>
    <s v="Meera Iyer"/>
    <x v="0"/>
    <x v="2"/>
    <x v="3"/>
    <x v="5"/>
    <n v="8"/>
    <n v="1500"/>
    <n v="12000"/>
    <n v="7200"/>
    <n v="4800"/>
  </r>
  <r>
    <s v="ORD437"/>
    <x v="318"/>
    <s v="Faisal Ahmed"/>
    <x v="1"/>
    <x v="1"/>
    <x v="2"/>
    <x v="25"/>
    <n v="1"/>
    <n v="8500"/>
    <n v="8500"/>
    <n v="6120"/>
    <n v="2380"/>
  </r>
  <r>
    <s v="ORD438"/>
    <x v="318"/>
    <s v="Meera Iyer"/>
    <x v="0"/>
    <x v="2"/>
    <x v="1"/>
    <x v="17"/>
    <n v="8"/>
    <n v="40000"/>
    <n v="320000"/>
    <n v="249600"/>
    <n v="70400"/>
  </r>
  <r>
    <s v="ORD439"/>
    <x v="319"/>
    <s v="Priya Singh"/>
    <x v="1"/>
    <x v="14"/>
    <x v="3"/>
    <x v="23"/>
    <n v="8"/>
    <n v="1800"/>
    <n v="14400"/>
    <n v="8640"/>
    <n v="5760"/>
  </r>
  <r>
    <s v="ORD440"/>
    <x v="320"/>
    <s v="Sneha Rao"/>
    <x v="3"/>
    <x v="15"/>
    <x v="3"/>
    <x v="18"/>
    <n v="8"/>
    <n v="700"/>
    <n v="5600"/>
    <n v="3360"/>
    <n v="2240"/>
  </r>
  <r>
    <s v="ORD441"/>
    <x v="320"/>
    <s v="Sneha Rao"/>
    <x v="0"/>
    <x v="0"/>
    <x v="5"/>
    <x v="10"/>
    <n v="5"/>
    <n v="250"/>
    <n v="1250"/>
    <n v="687.5"/>
    <n v="562.5"/>
  </r>
  <r>
    <s v="ORD442"/>
    <x v="321"/>
    <s v="Sneha Rao"/>
    <x v="0"/>
    <x v="2"/>
    <x v="3"/>
    <x v="24"/>
    <n v="7"/>
    <n v="2500"/>
    <n v="17500"/>
    <n v="10500"/>
    <n v="7000"/>
  </r>
  <r>
    <s v="ORD443"/>
    <x v="322"/>
    <s v="Sanjay Reddy"/>
    <x v="2"/>
    <x v="12"/>
    <x v="1"/>
    <x v="16"/>
    <n v="4"/>
    <n v="12000"/>
    <n v="48000"/>
    <n v="37440"/>
    <n v="10560"/>
  </r>
  <r>
    <s v="ORD444"/>
    <x v="323"/>
    <s v="Amit Verma"/>
    <x v="2"/>
    <x v="8"/>
    <x v="3"/>
    <x v="23"/>
    <n v="6"/>
    <n v="1800"/>
    <n v="10800"/>
    <n v="6480"/>
    <n v="4320"/>
  </r>
  <r>
    <s v="ORD445"/>
    <x v="323"/>
    <s v="Sanjay Reddy"/>
    <x v="0"/>
    <x v="10"/>
    <x v="5"/>
    <x v="10"/>
    <n v="5"/>
    <n v="250"/>
    <n v="1250"/>
    <n v="687.5"/>
    <n v="562.5"/>
  </r>
  <r>
    <s v="ORD446"/>
    <x v="324"/>
    <s v="Sameer Khan"/>
    <x v="1"/>
    <x v="1"/>
    <x v="1"/>
    <x v="17"/>
    <n v="5"/>
    <n v="40000"/>
    <n v="200000"/>
    <n v="156000"/>
    <n v="44000"/>
  </r>
  <r>
    <s v="ORD447"/>
    <x v="325"/>
    <s v="Rohit Mehta"/>
    <x v="1"/>
    <x v="14"/>
    <x v="5"/>
    <x v="27"/>
    <n v="1"/>
    <n v="150"/>
    <n v="150"/>
    <n v="82.5"/>
    <n v="67.5"/>
  </r>
  <r>
    <s v="ORD448"/>
    <x v="326"/>
    <s v="Aisha Khan"/>
    <x v="2"/>
    <x v="4"/>
    <x v="1"/>
    <x v="2"/>
    <n v="6"/>
    <n v="18000"/>
    <n v="108000"/>
    <n v="84240"/>
    <n v="23760"/>
  </r>
  <r>
    <s v="ORD449"/>
    <x v="326"/>
    <s v="Rahul Sharma"/>
    <x v="2"/>
    <x v="8"/>
    <x v="3"/>
    <x v="24"/>
    <n v="1"/>
    <n v="2500"/>
    <n v="2500"/>
    <n v="1500"/>
    <n v="1000"/>
  </r>
  <r>
    <s v="ORD450"/>
    <x v="327"/>
    <s v="Arjun Kumar"/>
    <x v="0"/>
    <x v="2"/>
    <x v="4"/>
    <x v="14"/>
    <n v="3"/>
    <n v="300"/>
    <n v="900"/>
    <n v="585"/>
    <n v="315"/>
  </r>
  <r>
    <s v="ORD451"/>
    <x v="328"/>
    <s v="Rohit Mehta"/>
    <x v="0"/>
    <x v="2"/>
    <x v="1"/>
    <x v="16"/>
    <n v="3"/>
    <n v="12000"/>
    <n v="36000"/>
    <n v="28080"/>
    <n v="7920"/>
  </r>
  <r>
    <s v="ORD452"/>
    <x v="328"/>
    <s v="Faisal Ahmed"/>
    <x v="3"/>
    <x v="15"/>
    <x v="5"/>
    <x v="20"/>
    <n v="5"/>
    <n v="400"/>
    <n v="2000"/>
    <n v="1100"/>
    <n v="900"/>
  </r>
  <r>
    <s v="ORD453"/>
    <x v="329"/>
    <s v="Aditya Joshi"/>
    <x v="0"/>
    <x v="3"/>
    <x v="2"/>
    <x v="25"/>
    <n v="1"/>
    <n v="8500"/>
    <n v="8500"/>
    <n v="6120"/>
    <n v="2380"/>
  </r>
  <r>
    <s v="ORD454"/>
    <x v="330"/>
    <s v="Pooja Nair"/>
    <x v="1"/>
    <x v="5"/>
    <x v="5"/>
    <x v="20"/>
    <n v="3"/>
    <n v="400"/>
    <n v="1200"/>
    <n v="660"/>
    <n v="540"/>
  </r>
  <r>
    <s v="ORD455"/>
    <x v="331"/>
    <s v="Aisha Khan"/>
    <x v="2"/>
    <x v="8"/>
    <x v="0"/>
    <x v="0"/>
    <n v="1"/>
    <n v="900"/>
    <n v="900"/>
    <n v="738"/>
    <n v="162"/>
  </r>
  <r>
    <s v="ORD456"/>
    <x v="331"/>
    <s v="Divya Rao"/>
    <x v="3"/>
    <x v="15"/>
    <x v="2"/>
    <x v="25"/>
    <n v="6"/>
    <n v="8500"/>
    <n v="51000"/>
    <n v="36720"/>
    <n v="14280"/>
  </r>
  <r>
    <s v="ORD457"/>
    <x v="332"/>
    <s v="Riya Kapoor"/>
    <x v="3"/>
    <x v="9"/>
    <x v="4"/>
    <x v="29"/>
    <n v="7"/>
    <n v="600"/>
    <n v="4200"/>
    <n v="2730"/>
    <n v="1470"/>
  </r>
  <r>
    <s v="ORD458"/>
    <x v="333"/>
    <s v="Faisal Ahmed"/>
    <x v="1"/>
    <x v="1"/>
    <x v="0"/>
    <x v="1"/>
    <n v="1"/>
    <n v="55000"/>
    <n v="55000"/>
    <n v="45100"/>
    <n v="9900"/>
  </r>
  <r>
    <s v="ORD459"/>
    <x v="334"/>
    <s v="Aditya Joshi"/>
    <x v="2"/>
    <x v="4"/>
    <x v="2"/>
    <x v="25"/>
    <n v="7"/>
    <n v="8500"/>
    <n v="59500"/>
    <n v="42840"/>
    <n v="16660"/>
  </r>
  <r>
    <s v="ORD460"/>
    <x v="334"/>
    <s v="Priya Singh"/>
    <x v="1"/>
    <x v="5"/>
    <x v="5"/>
    <x v="21"/>
    <n v="5"/>
    <n v="200"/>
    <n v="1000"/>
    <n v="550"/>
    <n v="450"/>
  </r>
  <r>
    <s v="ORD461"/>
    <x v="335"/>
    <s v="Anjali Singh"/>
    <x v="2"/>
    <x v="12"/>
    <x v="5"/>
    <x v="20"/>
    <n v="5"/>
    <n v="400"/>
    <n v="2000"/>
    <n v="1100"/>
    <n v="900"/>
  </r>
  <r>
    <s v="ORD462"/>
    <x v="336"/>
    <s v="Divya Rao"/>
    <x v="3"/>
    <x v="6"/>
    <x v="1"/>
    <x v="16"/>
    <n v="1"/>
    <n v="12000"/>
    <n v="12000"/>
    <n v="9360"/>
    <n v="2640"/>
  </r>
  <r>
    <s v="ORD463"/>
    <x v="337"/>
    <s v="Faisal Ahmed"/>
    <x v="0"/>
    <x v="2"/>
    <x v="2"/>
    <x v="7"/>
    <n v="3"/>
    <n v="6500"/>
    <n v="19500"/>
    <n v="14040"/>
    <n v="5460"/>
  </r>
  <r>
    <s v="ORD464"/>
    <x v="337"/>
    <s v="Sameer Khan"/>
    <x v="2"/>
    <x v="4"/>
    <x v="0"/>
    <x v="0"/>
    <n v="5"/>
    <n v="900"/>
    <n v="4500"/>
    <n v="3690"/>
    <n v="810"/>
  </r>
  <r>
    <s v="ORD465"/>
    <x v="338"/>
    <s v="Anjali Singh"/>
    <x v="2"/>
    <x v="8"/>
    <x v="2"/>
    <x v="25"/>
    <n v="4"/>
    <n v="8500"/>
    <n v="34000"/>
    <n v="24480"/>
    <n v="9520"/>
  </r>
  <r>
    <s v="ORD466"/>
    <x v="339"/>
    <s v="Aditya Joshi"/>
    <x v="2"/>
    <x v="7"/>
    <x v="3"/>
    <x v="23"/>
    <n v="6"/>
    <n v="1800"/>
    <n v="10800"/>
    <n v="6480"/>
    <n v="4320"/>
  </r>
  <r>
    <s v="ORD467"/>
    <x v="339"/>
    <s v="Amit Verma"/>
    <x v="1"/>
    <x v="5"/>
    <x v="4"/>
    <x v="14"/>
    <n v="7"/>
    <n v="300"/>
    <n v="2100"/>
    <n v="1365"/>
    <n v="735"/>
  </r>
  <r>
    <s v="ORD468"/>
    <x v="340"/>
    <s v="Arjun Kumar"/>
    <x v="2"/>
    <x v="4"/>
    <x v="4"/>
    <x v="6"/>
    <n v="2"/>
    <n v="250"/>
    <n v="500"/>
    <n v="325"/>
    <n v="175"/>
  </r>
  <r>
    <s v="ORD469"/>
    <x v="341"/>
    <s v="Priya Singh"/>
    <x v="2"/>
    <x v="4"/>
    <x v="0"/>
    <x v="19"/>
    <n v="7"/>
    <n v="1800"/>
    <n v="12600"/>
    <n v="10332"/>
    <n v="2268"/>
  </r>
  <r>
    <s v="ORD470"/>
    <x v="342"/>
    <s v="Riya Kapoor"/>
    <x v="3"/>
    <x v="11"/>
    <x v="4"/>
    <x v="6"/>
    <n v="3"/>
    <n v="250"/>
    <n v="750"/>
    <n v="487.5"/>
    <n v="262.5"/>
  </r>
  <r>
    <s v="ORD471"/>
    <x v="342"/>
    <s v="Aditya Joshi"/>
    <x v="3"/>
    <x v="11"/>
    <x v="5"/>
    <x v="27"/>
    <n v="2"/>
    <n v="150"/>
    <n v="300"/>
    <n v="165"/>
    <n v="135"/>
  </r>
  <r>
    <s v="ORD472"/>
    <x v="343"/>
    <s v="Faisal Ahmed"/>
    <x v="1"/>
    <x v="13"/>
    <x v="3"/>
    <x v="18"/>
    <n v="3"/>
    <n v="700"/>
    <n v="2100"/>
    <n v="1260"/>
    <n v="840"/>
  </r>
  <r>
    <s v="ORD473"/>
    <x v="344"/>
    <s v="Priya Singh"/>
    <x v="3"/>
    <x v="6"/>
    <x v="4"/>
    <x v="14"/>
    <n v="5"/>
    <n v="300"/>
    <n v="1500"/>
    <n v="975"/>
    <n v="525"/>
  </r>
  <r>
    <s v="ORD474"/>
    <x v="345"/>
    <s v="Riya Kapoor"/>
    <x v="0"/>
    <x v="2"/>
    <x v="5"/>
    <x v="21"/>
    <n v="5"/>
    <n v="200"/>
    <n v="1000"/>
    <n v="550"/>
    <n v="450"/>
  </r>
  <r>
    <s v="ORD475"/>
    <x v="345"/>
    <s v="Meera Iyer"/>
    <x v="2"/>
    <x v="12"/>
    <x v="3"/>
    <x v="24"/>
    <n v="1"/>
    <n v="2500"/>
    <n v="2500"/>
    <n v="1500"/>
    <n v="1000"/>
  </r>
  <r>
    <s v="ORD476"/>
    <x v="346"/>
    <s v="Anjali Singh"/>
    <x v="2"/>
    <x v="4"/>
    <x v="2"/>
    <x v="15"/>
    <n v="3"/>
    <n v="28000"/>
    <n v="84000"/>
    <n v="60480"/>
    <n v="23520"/>
  </r>
  <r>
    <s v="ORD477"/>
    <x v="347"/>
    <s v="Aditya Joshi"/>
    <x v="0"/>
    <x v="3"/>
    <x v="0"/>
    <x v="4"/>
    <n v="3"/>
    <n v="2500"/>
    <n v="7500"/>
    <n v="6150"/>
    <n v="1350"/>
  </r>
  <r>
    <s v="ORD478"/>
    <x v="347"/>
    <s v="Nisha Malhotra"/>
    <x v="0"/>
    <x v="10"/>
    <x v="0"/>
    <x v="4"/>
    <n v="1"/>
    <n v="2500"/>
    <n v="2500"/>
    <n v="2050"/>
    <n v="450"/>
  </r>
  <r>
    <s v="ORD479"/>
    <x v="348"/>
    <s v="Nisha Malhotra"/>
    <x v="2"/>
    <x v="8"/>
    <x v="4"/>
    <x v="9"/>
    <n v="7"/>
    <n v="15000"/>
    <n v="105000"/>
    <n v="68250"/>
    <n v="36750"/>
  </r>
  <r>
    <s v="ORD480"/>
    <x v="349"/>
    <s v="Meera Iyer"/>
    <x v="1"/>
    <x v="5"/>
    <x v="5"/>
    <x v="20"/>
    <n v="5"/>
    <n v="400"/>
    <n v="2000"/>
    <n v="1100"/>
    <n v="900"/>
  </r>
  <r>
    <s v="ORD481"/>
    <x v="350"/>
    <s v="Divya Rao"/>
    <x v="0"/>
    <x v="10"/>
    <x v="3"/>
    <x v="12"/>
    <n v="1"/>
    <n v="500"/>
    <n v="500"/>
    <n v="300"/>
    <n v="200"/>
  </r>
  <r>
    <s v="ORD482"/>
    <x v="350"/>
    <s v="Amit Verma"/>
    <x v="3"/>
    <x v="6"/>
    <x v="1"/>
    <x v="17"/>
    <n v="8"/>
    <n v="40000"/>
    <n v="320000"/>
    <n v="249600"/>
    <n v="70400"/>
  </r>
  <r>
    <s v="ORD483"/>
    <x v="351"/>
    <s v="Aditya Joshi"/>
    <x v="2"/>
    <x v="12"/>
    <x v="3"/>
    <x v="18"/>
    <n v="7"/>
    <n v="700"/>
    <n v="4900"/>
    <n v="2940"/>
    <n v="1960"/>
  </r>
  <r>
    <s v="ORD484"/>
    <x v="352"/>
    <s v="Riya Kapoor"/>
    <x v="0"/>
    <x v="10"/>
    <x v="1"/>
    <x v="17"/>
    <n v="2"/>
    <n v="40000"/>
    <n v="80000"/>
    <n v="62400"/>
    <n v="17600"/>
  </r>
  <r>
    <s v="ORD485"/>
    <x v="353"/>
    <s v="Rohit Mehta"/>
    <x v="0"/>
    <x v="3"/>
    <x v="4"/>
    <x v="22"/>
    <n v="6"/>
    <n v="500"/>
    <n v="3000"/>
    <n v="1950"/>
    <n v="1050"/>
  </r>
  <r>
    <s v="ORD486"/>
    <x v="353"/>
    <s v="Aditya Joshi"/>
    <x v="2"/>
    <x v="12"/>
    <x v="4"/>
    <x v="22"/>
    <n v="7"/>
    <n v="500"/>
    <n v="3500"/>
    <n v="2275"/>
    <n v="1225"/>
  </r>
  <r>
    <s v="ORD487"/>
    <x v="354"/>
    <s v="Anjali Singh"/>
    <x v="3"/>
    <x v="6"/>
    <x v="4"/>
    <x v="14"/>
    <n v="4"/>
    <n v="300"/>
    <n v="1200"/>
    <n v="780"/>
    <n v="420"/>
  </r>
  <r>
    <s v="ORD488"/>
    <x v="355"/>
    <s v="Anjali Singh"/>
    <x v="3"/>
    <x v="11"/>
    <x v="0"/>
    <x v="0"/>
    <n v="1"/>
    <n v="900"/>
    <n v="900"/>
    <n v="738"/>
    <n v="162"/>
  </r>
  <r>
    <s v="ORD489"/>
    <x v="355"/>
    <s v="Divya Rao"/>
    <x v="1"/>
    <x v="5"/>
    <x v="5"/>
    <x v="21"/>
    <n v="4"/>
    <n v="200"/>
    <n v="800"/>
    <n v="440.00000000000006"/>
    <n v="359.99999999999994"/>
  </r>
  <r>
    <s v="ORD490"/>
    <x v="356"/>
    <s v="Priya Singh"/>
    <x v="1"/>
    <x v="13"/>
    <x v="3"/>
    <x v="23"/>
    <n v="6"/>
    <n v="1800"/>
    <n v="10800"/>
    <n v="6480"/>
    <n v="4320"/>
  </r>
  <r>
    <s v="ORD491"/>
    <x v="357"/>
    <s v="Rahul Sharma"/>
    <x v="0"/>
    <x v="10"/>
    <x v="4"/>
    <x v="6"/>
    <n v="5"/>
    <n v="250"/>
    <n v="1250"/>
    <n v="812.5"/>
    <n v="437.5"/>
  </r>
  <r>
    <s v="ORD492"/>
    <x v="358"/>
    <s v="Meera Iyer"/>
    <x v="1"/>
    <x v="14"/>
    <x v="4"/>
    <x v="22"/>
    <n v="2"/>
    <n v="500"/>
    <n v="1000"/>
    <n v="650"/>
    <n v="350"/>
  </r>
  <r>
    <s v="ORD493"/>
    <x v="358"/>
    <s v="Rahul Sharma"/>
    <x v="3"/>
    <x v="15"/>
    <x v="4"/>
    <x v="14"/>
    <n v="7"/>
    <n v="300"/>
    <n v="2100"/>
    <n v="1365"/>
    <n v="735"/>
  </r>
  <r>
    <s v="ORD494"/>
    <x v="359"/>
    <s v="Arjun Kumar"/>
    <x v="2"/>
    <x v="8"/>
    <x v="0"/>
    <x v="4"/>
    <n v="7"/>
    <n v="2500"/>
    <n v="17500"/>
    <n v="14350"/>
    <n v="3150"/>
  </r>
  <r>
    <s v="ORD495"/>
    <x v="360"/>
    <s v="Karan Gupta"/>
    <x v="3"/>
    <x v="6"/>
    <x v="1"/>
    <x v="16"/>
    <n v="1"/>
    <n v="12000"/>
    <n v="12000"/>
    <n v="9360"/>
    <n v="2640"/>
  </r>
  <r>
    <s v="ORD496"/>
    <x v="361"/>
    <s v="Vikram Shah"/>
    <x v="3"/>
    <x v="11"/>
    <x v="3"/>
    <x v="23"/>
    <n v="7"/>
    <n v="1800"/>
    <n v="12600"/>
    <n v="7560"/>
    <n v="5040"/>
  </r>
  <r>
    <s v="ORD497"/>
    <x v="361"/>
    <s v="Arjun Kumar"/>
    <x v="0"/>
    <x v="10"/>
    <x v="2"/>
    <x v="7"/>
    <n v="4"/>
    <n v="6500"/>
    <n v="26000"/>
    <n v="18720"/>
    <n v="7280"/>
  </r>
  <r>
    <s v="ORD498"/>
    <x v="362"/>
    <s v="Neha Patel"/>
    <x v="3"/>
    <x v="11"/>
    <x v="4"/>
    <x v="22"/>
    <n v="1"/>
    <n v="500"/>
    <n v="500"/>
    <n v="325"/>
    <n v="175"/>
  </r>
  <r>
    <s v="ORD499"/>
    <x v="363"/>
    <s v="Riya Kapoor"/>
    <x v="2"/>
    <x v="4"/>
    <x v="1"/>
    <x v="2"/>
    <n v="6"/>
    <n v="18000"/>
    <n v="108000"/>
    <n v="84240"/>
    <n v="23760"/>
  </r>
  <r>
    <s v="ORD500"/>
    <x v="364"/>
    <s v="Sameer Khan"/>
    <x v="1"/>
    <x v="14"/>
    <x v="3"/>
    <x v="12"/>
    <n v="3"/>
    <n v="500"/>
    <n v="1500"/>
    <n v="900"/>
    <n v="600"/>
  </r>
  <r>
    <m/>
    <x v="365"/>
    <m/>
    <x v="4"/>
    <x v="16"/>
    <x v="6"/>
    <x v="30"/>
    <m/>
    <m/>
    <m/>
    <m/>
    <m/>
  </r>
  <r>
    <m/>
    <x v="365"/>
    <m/>
    <x v="4"/>
    <x v="16"/>
    <x v="6"/>
    <x v="30"/>
    <m/>
    <m/>
    <m/>
    <m/>
    <m/>
  </r>
  <r>
    <m/>
    <x v="365"/>
    <m/>
    <x v="4"/>
    <x v="16"/>
    <x v="6"/>
    <x v="30"/>
    <m/>
    <m/>
    <m/>
    <m/>
    <m/>
  </r>
  <r>
    <m/>
    <x v="365"/>
    <m/>
    <x v="4"/>
    <x v="16"/>
    <x v="6"/>
    <x v="30"/>
    <m/>
    <m/>
    <m/>
    <m/>
    <m/>
  </r>
  <r>
    <m/>
    <x v="365"/>
    <m/>
    <x v="4"/>
    <x v="16"/>
    <x v="6"/>
    <x v="30"/>
    <m/>
    <m/>
    <m/>
    <m/>
    <m/>
  </r>
  <r>
    <m/>
    <x v="365"/>
    <m/>
    <x v="4"/>
    <x v="16"/>
    <x v="6"/>
    <x v="30"/>
    <m/>
    <m/>
    <m/>
    <m/>
    <m/>
  </r>
  <r>
    <m/>
    <x v="365"/>
    <m/>
    <x v="4"/>
    <x v="16"/>
    <x v="6"/>
    <x v="30"/>
    <m/>
    <m/>
    <m/>
    <m/>
    <m/>
  </r>
  <r>
    <m/>
    <x v="365"/>
    <m/>
    <x v="4"/>
    <x v="16"/>
    <x v="6"/>
    <x v="30"/>
    <m/>
    <m/>
    <m/>
    <m/>
    <m/>
  </r>
  <r>
    <m/>
    <x v="365"/>
    <m/>
    <x v="4"/>
    <x v="16"/>
    <x v="6"/>
    <x v="30"/>
    <m/>
    <m/>
    <m/>
    <m/>
    <m/>
  </r>
  <r>
    <m/>
    <x v="365"/>
    <m/>
    <x v="4"/>
    <x v="16"/>
    <x v="6"/>
    <x v="30"/>
    <m/>
    <m/>
    <m/>
    <m/>
    <m/>
  </r>
  <r>
    <m/>
    <x v="365"/>
    <m/>
    <x v="4"/>
    <x v="16"/>
    <x v="6"/>
    <x v="30"/>
    <m/>
    <m/>
    <m/>
    <m/>
    <m/>
  </r>
  <r>
    <m/>
    <x v="365"/>
    <m/>
    <x v="4"/>
    <x v="16"/>
    <x v="6"/>
    <x v="30"/>
    <m/>
    <m/>
    <m/>
    <m/>
    <m/>
  </r>
  <r>
    <m/>
    <x v="365"/>
    <m/>
    <x v="4"/>
    <x v="16"/>
    <x v="6"/>
    <x v="30"/>
    <m/>
    <m/>
    <m/>
    <m/>
    <m/>
  </r>
  <r>
    <m/>
    <x v="365"/>
    <m/>
    <x v="4"/>
    <x v="16"/>
    <x v="6"/>
    <x v="30"/>
    <m/>
    <m/>
    <m/>
    <m/>
    <m/>
  </r>
  <r>
    <m/>
    <x v="365"/>
    <m/>
    <x v="4"/>
    <x v="16"/>
    <x v="6"/>
    <x v="30"/>
    <m/>
    <m/>
    <m/>
    <m/>
    <m/>
  </r>
  <r>
    <m/>
    <x v="365"/>
    <m/>
    <x v="4"/>
    <x v="16"/>
    <x v="6"/>
    <x v="30"/>
    <m/>
    <m/>
    <m/>
    <m/>
    <m/>
  </r>
  <r>
    <m/>
    <x v="365"/>
    <m/>
    <x v="4"/>
    <x v="16"/>
    <x v="6"/>
    <x v="30"/>
    <m/>
    <m/>
    <m/>
    <m/>
    <m/>
  </r>
  <r>
    <m/>
    <x v="365"/>
    <m/>
    <x v="4"/>
    <x v="16"/>
    <x v="6"/>
    <x v="30"/>
    <m/>
    <m/>
    <m/>
    <m/>
    <m/>
  </r>
  <r>
    <m/>
    <x v="365"/>
    <m/>
    <x v="4"/>
    <x v="16"/>
    <x v="6"/>
    <x v="30"/>
    <m/>
    <m/>
    <m/>
    <m/>
    <m/>
  </r>
  <r>
    <m/>
    <x v="365"/>
    <m/>
    <x v="4"/>
    <x v="16"/>
    <x v="6"/>
    <x v="30"/>
    <m/>
    <m/>
    <m/>
    <m/>
    <m/>
  </r>
  <r>
    <m/>
    <x v="365"/>
    <m/>
    <x v="4"/>
    <x v="16"/>
    <x v="6"/>
    <x v="30"/>
    <m/>
    <m/>
    <m/>
    <m/>
    <m/>
  </r>
  <r>
    <m/>
    <x v="365"/>
    <m/>
    <x v="4"/>
    <x v="16"/>
    <x v="6"/>
    <x v="30"/>
    <m/>
    <m/>
    <m/>
    <m/>
    <m/>
  </r>
  <r>
    <m/>
    <x v="365"/>
    <m/>
    <x v="4"/>
    <x v="16"/>
    <x v="6"/>
    <x v="30"/>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EBB4FB-4197-4AD4-B6CC-EAD4DA29442F}"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5:B37" firstHeaderRow="1" firstDataRow="1" firstDataCol="1"/>
  <pivotFields count="13">
    <pivotField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sortType="descending">
      <items count="6">
        <item h="1" x="0"/>
        <item h="1" x="1"/>
        <item h="1" x="2"/>
        <item x="3"/>
        <item h="1" x="4"/>
        <item t="default"/>
      </items>
      <autoSortScope>
        <pivotArea dataOnly="0" outline="0" fieldPosition="0">
          <references count="1">
            <reference field="4294967294" count="1" selected="0">
              <x v="0"/>
            </reference>
          </references>
        </pivotArea>
      </autoSortScope>
    </pivotField>
    <pivotField showAll="0"/>
    <pivotField showAll="0">
      <items count="8">
        <item x="3"/>
        <item x="1"/>
        <item x="0"/>
        <item x="2"/>
        <item x="4"/>
        <item x="5"/>
        <item x="6"/>
        <item t="default"/>
      </items>
    </pivotField>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3"/>
  </rowFields>
  <rowItems count="2">
    <i>
      <x v="3"/>
    </i>
    <i t="grand">
      <x/>
    </i>
  </rowItems>
  <colItems count="1">
    <i/>
  </colItems>
  <dataFields count="1">
    <dataField name="Sum of profit" fld="11" baseField="0" baseItem="0" numFmtId="166"/>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5473F8-8326-487F-A263-D8F6675D9D35}"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B33" firstHeaderRow="1" firstDataRow="1" firstDataCol="1"/>
  <pivotFields count="13">
    <pivotField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6">
        <item h="1" x="0"/>
        <item h="1" x="1"/>
        <item h="1" x="2"/>
        <item x="3"/>
        <item h="1" x="4"/>
        <item t="default"/>
      </items>
    </pivotField>
    <pivotField showAll="0"/>
    <pivotField showAll="0">
      <items count="8">
        <item x="3"/>
        <item x="1"/>
        <item x="0"/>
        <item x="2"/>
        <item x="4"/>
        <item x="5"/>
        <item x="6"/>
        <item t="default"/>
      </items>
    </pivotField>
    <pivotField showAll="0"/>
    <pivotField showAll="0"/>
    <pivotField showAll="0"/>
    <pivotField dataField="1" showAll="0"/>
    <pivotField showAll="0"/>
    <pivotField showAll="0"/>
    <pivotField axis="axisRow" showAll="0">
      <items count="15">
        <item x="0"/>
        <item x="1"/>
        <item x="2"/>
        <item x="3"/>
        <item x="4"/>
        <item x="5"/>
        <item x="6"/>
        <item x="7"/>
        <item x="8"/>
        <item x="9"/>
        <item x="10"/>
        <item x="11"/>
        <item x="12"/>
        <item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Sales" fld="9" baseField="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901D77-1D22-415C-A784-F1B89C2C9882}"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B17" firstHeaderRow="1" firstDataRow="1" firstDataCol="1"/>
  <pivotFields count="13">
    <pivotField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6">
        <item h="1" x="0"/>
        <item h="1" x="1"/>
        <item h="1" x="2"/>
        <item x="3"/>
        <item h="1" x="4"/>
        <item t="default"/>
      </items>
    </pivotField>
    <pivotField showAll="0"/>
    <pivotField axis="axisRow" showAll="0" sortType="descending">
      <items count="8">
        <item x="3"/>
        <item x="1"/>
        <item x="0"/>
        <item x="2"/>
        <item x="4"/>
        <item x="5"/>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7">
    <i>
      <x v="1"/>
    </i>
    <i>
      <x v="2"/>
    </i>
    <i>
      <x v="4"/>
    </i>
    <i>
      <x v="3"/>
    </i>
    <i>
      <x/>
    </i>
    <i>
      <x v="5"/>
    </i>
    <i t="grand">
      <x/>
    </i>
  </rowItems>
  <colItems count="1">
    <i/>
  </colItems>
  <dataFields count="1">
    <dataField name="Sum of Sales" fld="9" baseField="0" baseItem="0" numFmtId="166"/>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B59603-0FE3-4F4D-9C63-315B10707D20}"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20:M21" firstHeaderRow="0" firstDataRow="1" firstDataCol="0"/>
  <pivotFields count="13">
    <pivotField dataField="1"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6">
        <item h="1" x="0"/>
        <item h="1" x="1"/>
        <item h="1" x="2"/>
        <item x="3"/>
        <item h="1" x="4"/>
        <item t="default"/>
      </items>
    </pivotField>
    <pivotField showAll="0"/>
    <pivotField showAll="0">
      <items count="8">
        <item x="3"/>
        <item x="1"/>
        <item x="0"/>
        <item x="2"/>
        <item x="4"/>
        <item x="5"/>
        <item x="6"/>
        <item t="default"/>
      </items>
    </pivotField>
    <pivotField showAll="0"/>
    <pivotField dataField="1" showAll="0"/>
    <pivotField showAll="0"/>
    <pivotField dataField="1" showAll="0"/>
    <pivotField showAll="0"/>
    <pivotField dataField="1" showAll="0"/>
    <pivotField showAll="0" defaultSubtotal="0">
      <items count="14">
        <item x="0"/>
        <item x="1"/>
        <item x="2"/>
        <item x="3"/>
        <item x="4"/>
        <item x="5"/>
        <item x="6"/>
        <item x="7"/>
        <item x="8"/>
        <item x="9"/>
        <item x="10"/>
        <item x="11"/>
        <item x="12"/>
        <item x="13"/>
      </items>
    </pivotField>
  </pivotFields>
  <rowItems count="1">
    <i/>
  </rowItems>
  <colFields count="1">
    <field x="-2"/>
  </colFields>
  <colItems count="4">
    <i>
      <x/>
    </i>
    <i i="1">
      <x v="1"/>
    </i>
    <i i="2">
      <x v="2"/>
    </i>
    <i i="3">
      <x v="3"/>
    </i>
  </colItems>
  <dataFields count="4">
    <dataField name="Sum of Sales" fld="9" baseField="0" baseItem="0" numFmtId="166"/>
    <dataField name="Sum of profit" fld="11" baseField="0" baseItem="0" numFmtId="166"/>
    <dataField name="Sum of Quantity" fld="7" baseField="0" baseItem="0"/>
    <dataField name="Count of Order 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2BC0A7-4889-4B70-8747-78119C20F56D}"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K12" firstHeaderRow="1" firstDataRow="1" firstDataCol="1"/>
  <pivotFields count="13">
    <pivotField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6">
        <item h="1" x="0"/>
        <item h="1" x="1"/>
        <item h="1" x="2"/>
        <item x="3"/>
        <item h="1" x="4"/>
        <item t="default"/>
      </items>
    </pivotField>
    <pivotField showAll="0"/>
    <pivotField showAll="0">
      <items count="8">
        <item x="3"/>
        <item x="1"/>
        <item x="0"/>
        <item x="2"/>
        <item x="4"/>
        <item x="5"/>
        <item x="6"/>
        <item t="default"/>
      </items>
    </pivotField>
    <pivotField axis="axisRow" showAll="0" measureFilter="1" sortType="descending">
      <items count="32">
        <item x="17"/>
        <item x="13"/>
        <item x="7"/>
        <item x="29"/>
        <item x="20"/>
        <item x="14"/>
        <item x="4"/>
        <item x="19"/>
        <item x="1"/>
        <item x="23"/>
        <item x="8"/>
        <item x="16"/>
        <item x="28"/>
        <item x="0"/>
        <item x="27"/>
        <item x="3"/>
        <item x="25"/>
        <item x="22"/>
        <item x="21"/>
        <item x="18"/>
        <item x="5"/>
        <item x="9"/>
        <item x="26"/>
        <item x="15"/>
        <item x="6"/>
        <item x="11"/>
        <item x="12"/>
        <item x="2"/>
        <item x="24"/>
        <item x="10"/>
        <item x="3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s>
  <rowFields count="1">
    <field x="6"/>
  </rowFields>
  <rowItems count="11">
    <i>
      <x v="8"/>
    </i>
    <i>
      <x v="22"/>
    </i>
    <i>
      <x/>
    </i>
    <i>
      <x v="21"/>
    </i>
    <i>
      <x v="23"/>
    </i>
    <i>
      <x v="11"/>
    </i>
    <i>
      <x v="27"/>
    </i>
    <i>
      <x v="12"/>
    </i>
    <i>
      <x v="1"/>
    </i>
    <i>
      <x v="7"/>
    </i>
    <i t="grand">
      <x/>
    </i>
  </rowItems>
  <colItems count="1">
    <i/>
  </colItems>
  <dataFields count="1">
    <dataField name="Sum of Sales" fld="9" baseField="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12D90D-0ACA-41AD-A7B7-9EC4AB4F255F}"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3" firstHeaderRow="1" firstDataRow="1" firstDataCol="1"/>
  <pivotFields count="13">
    <pivotField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sortType="descending">
      <items count="6">
        <item h="1" x="0"/>
        <item h="1" x="1"/>
        <item h="1" x="2"/>
        <item x="3"/>
        <item h="1" x="4"/>
        <item t="default"/>
      </items>
      <autoSortScope>
        <pivotArea dataOnly="0" outline="0" fieldPosition="0">
          <references count="1">
            <reference field="4294967294" count="1" selected="0">
              <x v="0"/>
            </reference>
          </references>
        </pivotArea>
      </autoSortScope>
    </pivotField>
    <pivotField showAll="0"/>
    <pivotField showAll="0">
      <items count="8">
        <item x="3"/>
        <item x="1"/>
        <item x="0"/>
        <item x="2"/>
        <item x="4"/>
        <item x="5"/>
        <item x="6"/>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2">
    <i>
      <x v="3"/>
    </i>
    <i t="grand">
      <x/>
    </i>
  </rowItems>
  <colItems count="1">
    <i/>
  </colItems>
  <dataFields count="1">
    <dataField name="Sum of Sales" fld="9"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68DA14-ACC7-43DC-BC3B-3878B15089BF}"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0:B55" firstHeaderRow="1" firstDataRow="1" firstDataCol="1"/>
  <pivotFields count="13">
    <pivotField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6">
        <item h="1" x="0"/>
        <item h="1" x="1"/>
        <item h="1" x="2"/>
        <item x="3"/>
        <item h="1" x="4"/>
        <item t="default"/>
      </items>
    </pivotField>
    <pivotField axis="axisRow" showAll="0" sortType="descending">
      <items count="18">
        <item x="0"/>
        <item x="13"/>
        <item x="15"/>
        <item x="11"/>
        <item x="1"/>
        <item x="3"/>
        <item x="7"/>
        <item x="8"/>
        <item x="6"/>
        <item x="2"/>
        <item x="5"/>
        <item x="9"/>
        <item x="12"/>
        <item x="4"/>
        <item x="14"/>
        <item x="10"/>
        <item x="16"/>
        <item t="default"/>
      </items>
      <autoSortScope>
        <pivotArea dataOnly="0" outline="0" fieldPosition="0">
          <references count="1">
            <reference field="4294967294" count="1" selected="0">
              <x v="0"/>
            </reference>
          </references>
        </pivotArea>
      </autoSortScope>
    </pivotField>
    <pivotField showAll="0">
      <items count="8">
        <item x="3"/>
        <item x="1"/>
        <item x="0"/>
        <item x="2"/>
        <item x="4"/>
        <item x="5"/>
        <item x="6"/>
        <item t="default"/>
      </items>
    </pivotField>
    <pivotField showAll="0"/>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s>
  <rowFields count="1">
    <field x="4"/>
  </rowFields>
  <rowItems count="5">
    <i>
      <x v="3"/>
    </i>
    <i>
      <x v="2"/>
    </i>
    <i>
      <x v="11"/>
    </i>
    <i>
      <x v="8"/>
    </i>
    <i t="grand">
      <x/>
    </i>
  </rowItems>
  <colItems count="1">
    <i/>
  </colItems>
  <dataFields count="1">
    <dataField name="Sum of Sales" fld="9" baseField="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39FBE8F-A185-437E-B452-D3F9A02D3CDE}" sourceName="Region">
  <pivotTables>
    <pivotTable tabId="2" name="PivotTable3"/>
    <pivotTable tabId="2" name="PivotTable2"/>
    <pivotTable tabId="2" name="PivotTable4"/>
    <pivotTable tabId="2" name="PivotTable5"/>
    <pivotTable tabId="2" name="PivotTable6"/>
    <pivotTable tabId="2" name="PivotTable7"/>
    <pivotTable tabId="2" name="PivotTable8"/>
  </pivotTables>
  <data>
    <tabular pivotCacheId="497803756">
      <items count="5">
        <i x="0"/>
        <i x="1"/>
        <i x="2"/>
        <i x="3"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CAB313D-3D49-4DA0-BAA1-4DB5FF26267E}" sourceName="Category">
  <pivotTables>
    <pivotTable tabId="2" name="PivotTable4"/>
    <pivotTable tabId="2" name="PivotTable2"/>
    <pivotTable tabId="2" name="PivotTable3"/>
    <pivotTable tabId="2" name="PivotTable5"/>
    <pivotTable tabId="2" name="PivotTable6"/>
    <pivotTable tabId="2" name="PivotTable7"/>
    <pivotTable tabId="2" name="PivotTable8"/>
  </pivotTables>
  <data>
    <tabular pivotCacheId="497803756">
      <items count="7">
        <i x="3" s="1"/>
        <i x="1" s="1"/>
        <i x="0" s="1"/>
        <i x="2" s="1"/>
        <i x="4" s="1"/>
        <i x="5"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DEC461E-56A2-4188-8CE3-2541D8C4A95B}" cache="Slicer_Region" caption="Region" startItem="3" style="SlicerStyleLight4" rowHeight="247650"/>
  <slicer name="Category" xr10:uid="{BE9FF375-5C26-462D-A244-9806A58ED2E0}" cache="Slicer_Category" caption="Category" style="SlicerStyleLight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BA8FF9-09DE-4FE9-8F77-D572DA60938B}" name="SalesTable" displayName="SalesTable" ref="A1:L525" totalsRowCount="1">
  <autoFilter ref="A1:L524" xr:uid="{27BA8FF9-09DE-4FE9-8F77-D572DA60938B}"/>
  <tableColumns count="12">
    <tableColumn id="1" xr3:uid="{B6FE5629-A13B-46C6-BBC0-2B872829D2F9}" name="Order ID"/>
    <tableColumn id="2" xr3:uid="{3EF15275-3EC0-455A-8AAC-E67EB8E9C918}" name="Order Date" dataDxfId="11" totalsRowDxfId="10"/>
    <tableColumn id="3" xr3:uid="{810E41D4-8102-4404-A620-4BA76E92B81D}" name="Customer Name"/>
    <tableColumn id="4" xr3:uid="{CD0FB060-E0CB-43AF-BA27-F3E066932487}" name="Region"/>
    <tableColumn id="5" xr3:uid="{992F7738-C6EB-46E1-8FEC-6579BA747CDF}" name="State"/>
    <tableColumn id="6" xr3:uid="{20938F4A-BA64-43E4-A418-84122AC7ECE9}" name="Category"/>
    <tableColumn id="7" xr3:uid="{FDB23324-954C-4CD3-AD81-1C57AAF07277}" name="Product"/>
    <tableColumn id="8" xr3:uid="{B0A1D16D-DA6C-4934-96C9-7BBBD00C2DA6}" name="Quantity" dataDxfId="9" totalsRowDxfId="8"/>
    <tableColumn id="9" xr3:uid="{E38B08FB-BFE9-47BC-B928-ACD4B5CAABA0}" name="Unit Price" dataDxfId="7" totalsRowDxfId="6" dataCellStyle="Currency"/>
    <tableColumn id="10" xr3:uid="{E03974E5-BB51-4A7E-910A-BCDC29B6D8EC}" name="Sales" dataDxfId="5" totalsRowDxfId="4" dataCellStyle="Currency">
      <calculatedColumnFormula>(I2*H2)</calculatedColumnFormula>
    </tableColumn>
    <tableColumn id="11" xr3:uid="{74ABA5E7-2837-4226-84F2-A475E85EB9B9}" name="Cost" dataDxfId="3" totalsRowDxfId="2" dataCellStyle="Currency"/>
    <tableColumn id="12" xr3:uid="{D4636AE6-5C82-4271-BC85-8A050B7AF45C}" name="profit" dataDxfId="1" totalsRowDxfId="0" dataCellStyle="Currency">
      <calculatedColumnFormula>(J2-K2)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FEA09-7C90-4CCC-A9F2-148A0B91FCC5}">
  <dimension ref="A1:L525"/>
  <sheetViews>
    <sheetView workbookViewId="0">
      <pane ySplit="1" topLeftCell="A442" activePane="bottomLeft" state="frozen"/>
      <selection pane="bottomLeft" activeCell="D15" sqref="D15"/>
    </sheetView>
  </sheetViews>
  <sheetFormatPr defaultRowHeight="14.4" x14ac:dyDescent="0.3"/>
  <cols>
    <col min="1" max="1" width="10.109375" bestFit="1" customWidth="1"/>
    <col min="2" max="2" width="12.21875" style="3" bestFit="1" customWidth="1"/>
    <col min="3" max="3" width="16.77734375" bestFit="1" customWidth="1"/>
    <col min="4" max="4" width="8.77734375" bestFit="1" customWidth="1"/>
    <col min="5" max="5" width="12" bestFit="1" customWidth="1"/>
    <col min="6" max="6" width="13.109375" bestFit="1" customWidth="1"/>
    <col min="7" max="7" width="12.88671875" bestFit="1" customWidth="1"/>
    <col min="8" max="8" width="10.33203125" bestFit="1" customWidth="1"/>
    <col min="9" max="9" width="11.33203125" bestFit="1" customWidth="1"/>
    <col min="10" max="11" width="11.109375" bestFit="1" customWidth="1"/>
    <col min="12" max="12" width="10.109375" bestFit="1" customWidth="1"/>
  </cols>
  <sheetData>
    <row r="1" spans="1:12" x14ac:dyDescent="0.3">
      <c r="A1" t="s">
        <v>0</v>
      </c>
      <c r="B1" s="3" t="s">
        <v>1</v>
      </c>
      <c r="C1" t="s">
        <v>2</v>
      </c>
      <c r="D1" t="s">
        <v>3</v>
      </c>
      <c r="E1" t="s">
        <v>4</v>
      </c>
      <c r="F1" t="s">
        <v>5</v>
      </c>
      <c r="G1" t="s">
        <v>6</v>
      </c>
      <c r="H1" t="s">
        <v>7</v>
      </c>
      <c r="I1" s="1" t="s">
        <v>8</v>
      </c>
      <c r="J1" s="1" t="s">
        <v>9</v>
      </c>
      <c r="K1" s="1" t="s">
        <v>10</v>
      </c>
      <c r="L1" s="1" t="s">
        <v>11</v>
      </c>
    </row>
    <row r="2" spans="1:12" x14ac:dyDescent="0.3">
      <c r="A2" t="s">
        <v>12</v>
      </c>
      <c r="B2" s="3">
        <v>46023</v>
      </c>
      <c r="C2" t="s">
        <v>587</v>
      </c>
      <c r="D2" t="s">
        <v>565</v>
      </c>
      <c r="E2" t="s">
        <v>571</v>
      </c>
      <c r="F2" t="s">
        <v>28</v>
      </c>
      <c r="G2" t="s">
        <v>58</v>
      </c>
      <c r="H2" s="2">
        <v>7</v>
      </c>
      <c r="I2" s="1">
        <v>900</v>
      </c>
      <c r="J2" s="1">
        <v>6300</v>
      </c>
      <c r="K2" s="1">
        <v>5166</v>
      </c>
      <c r="L2" s="1">
        <v>1134</v>
      </c>
    </row>
    <row r="3" spans="1:12" x14ac:dyDescent="0.3">
      <c r="A3" t="s">
        <v>13</v>
      </c>
      <c r="B3" s="3">
        <v>46023</v>
      </c>
      <c r="C3" t="s">
        <v>564</v>
      </c>
      <c r="D3" t="s">
        <v>22</v>
      </c>
      <c r="E3" t="s">
        <v>556</v>
      </c>
      <c r="F3" t="s">
        <v>28</v>
      </c>
      <c r="G3" t="s">
        <v>56</v>
      </c>
      <c r="H3" s="2">
        <v>8</v>
      </c>
      <c r="I3" s="1">
        <v>55000</v>
      </c>
      <c r="J3" s="1">
        <v>440000</v>
      </c>
      <c r="K3" s="1">
        <v>360800</v>
      </c>
      <c r="L3" s="1">
        <v>79200</v>
      </c>
    </row>
    <row r="4" spans="1:12" x14ac:dyDescent="0.3">
      <c r="A4" t="s">
        <v>14</v>
      </c>
      <c r="B4" s="3">
        <v>46024</v>
      </c>
      <c r="C4" t="s">
        <v>50</v>
      </c>
      <c r="D4" t="s">
        <v>565</v>
      </c>
      <c r="E4" t="s">
        <v>568</v>
      </c>
      <c r="F4" t="s">
        <v>548</v>
      </c>
      <c r="G4" t="s">
        <v>586</v>
      </c>
      <c r="H4" s="2">
        <v>5</v>
      </c>
      <c r="I4" s="1">
        <v>18000</v>
      </c>
      <c r="J4" s="1">
        <v>90000</v>
      </c>
      <c r="K4" s="1">
        <v>70200</v>
      </c>
      <c r="L4" s="1">
        <v>19800</v>
      </c>
    </row>
    <row r="5" spans="1:12" x14ac:dyDescent="0.3">
      <c r="A5" t="s">
        <v>15</v>
      </c>
      <c r="B5" s="3">
        <v>46025</v>
      </c>
      <c r="C5" t="s">
        <v>47</v>
      </c>
      <c r="D5" t="s">
        <v>565</v>
      </c>
      <c r="E5" t="s">
        <v>566</v>
      </c>
      <c r="F5" t="s">
        <v>27</v>
      </c>
      <c r="G5" t="s">
        <v>29</v>
      </c>
      <c r="H5" s="2">
        <v>7</v>
      </c>
      <c r="I5" s="1">
        <v>4500</v>
      </c>
      <c r="J5" s="1">
        <v>31500</v>
      </c>
      <c r="K5" s="1">
        <v>22680</v>
      </c>
      <c r="L5" s="1">
        <v>8820</v>
      </c>
    </row>
    <row r="6" spans="1:12" x14ac:dyDescent="0.3">
      <c r="A6" t="s">
        <v>16</v>
      </c>
      <c r="B6" s="3">
        <v>46025</v>
      </c>
      <c r="C6" t="s">
        <v>18</v>
      </c>
      <c r="D6" t="s">
        <v>565</v>
      </c>
      <c r="E6" t="s">
        <v>571</v>
      </c>
      <c r="F6" t="s">
        <v>28</v>
      </c>
      <c r="G6" t="s">
        <v>58</v>
      </c>
      <c r="H6" s="2">
        <v>3</v>
      </c>
      <c r="I6" s="1">
        <v>900</v>
      </c>
      <c r="J6" s="1">
        <v>2700</v>
      </c>
      <c r="K6" s="1">
        <v>2214</v>
      </c>
      <c r="L6" s="1">
        <v>486</v>
      </c>
    </row>
    <row r="7" spans="1:12" x14ac:dyDescent="0.3">
      <c r="A7" t="s">
        <v>33</v>
      </c>
      <c r="B7" s="3">
        <v>46026</v>
      </c>
      <c r="C7" t="s">
        <v>43</v>
      </c>
      <c r="D7" t="s">
        <v>565</v>
      </c>
      <c r="E7" t="s">
        <v>566</v>
      </c>
      <c r="F7" t="s">
        <v>28</v>
      </c>
      <c r="G7" t="s">
        <v>60</v>
      </c>
      <c r="H7" s="2">
        <v>5</v>
      </c>
      <c r="I7" s="1">
        <v>2500</v>
      </c>
      <c r="J7" s="1">
        <v>12500</v>
      </c>
      <c r="K7" s="1">
        <v>10250</v>
      </c>
      <c r="L7" s="1">
        <v>2250</v>
      </c>
    </row>
    <row r="8" spans="1:12" x14ac:dyDescent="0.3">
      <c r="A8" t="s">
        <v>34</v>
      </c>
      <c r="B8" s="3">
        <v>46027</v>
      </c>
      <c r="C8" t="s">
        <v>19</v>
      </c>
      <c r="D8" t="s">
        <v>22</v>
      </c>
      <c r="E8" t="s">
        <v>556</v>
      </c>
      <c r="F8" t="s">
        <v>551</v>
      </c>
      <c r="G8" t="s">
        <v>558</v>
      </c>
      <c r="H8" s="2">
        <v>2</v>
      </c>
      <c r="I8" s="1">
        <v>1500</v>
      </c>
      <c r="J8" s="1">
        <v>3000</v>
      </c>
      <c r="K8" s="1">
        <v>1800</v>
      </c>
      <c r="L8" s="1">
        <v>1200</v>
      </c>
    </row>
    <row r="9" spans="1:12" x14ac:dyDescent="0.3">
      <c r="A9" t="s">
        <v>35</v>
      </c>
      <c r="B9" s="3">
        <v>46028</v>
      </c>
      <c r="C9" t="s">
        <v>547</v>
      </c>
      <c r="D9" t="s">
        <v>20</v>
      </c>
      <c r="E9" t="s">
        <v>55</v>
      </c>
      <c r="F9" t="s">
        <v>27</v>
      </c>
      <c r="G9" t="s">
        <v>29</v>
      </c>
      <c r="H9" s="2">
        <v>8</v>
      </c>
      <c r="I9" s="1">
        <v>4500</v>
      </c>
      <c r="J9" s="1">
        <v>36000</v>
      </c>
      <c r="K9" s="1">
        <v>25920</v>
      </c>
      <c r="L9" s="1">
        <v>10080</v>
      </c>
    </row>
    <row r="10" spans="1:12" x14ac:dyDescent="0.3">
      <c r="A10" t="s">
        <v>36</v>
      </c>
      <c r="B10" s="3">
        <v>46028</v>
      </c>
      <c r="C10" t="s">
        <v>44</v>
      </c>
      <c r="D10" t="s">
        <v>22</v>
      </c>
      <c r="E10" t="s">
        <v>569</v>
      </c>
      <c r="F10" t="s">
        <v>548</v>
      </c>
      <c r="G10" t="s">
        <v>586</v>
      </c>
      <c r="H10" s="2">
        <v>8</v>
      </c>
      <c r="I10" s="1">
        <v>18000</v>
      </c>
      <c r="J10" s="1">
        <v>144000</v>
      </c>
      <c r="K10" s="1">
        <v>112320</v>
      </c>
      <c r="L10" s="1">
        <v>31680</v>
      </c>
    </row>
    <row r="11" spans="1:12" x14ac:dyDescent="0.3">
      <c r="A11" t="s">
        <v>37</v>
      </c>
      <c r="B11" s="3">
        <v>46029</v>
      </c>
      <c r="C11" t="s">
        <v>555</v>
      </c>
      <c r="D11" t="s">
        <v>21</v>
      </c>
      <c r="E11" t="s">
        <v>24</v>
      </c>
      <c r="F11" t="s">
        <v>553</v>
      </c>
      <c r="G11" t="s">
        <v>577</v>
      </c>
      <c r="H11" s="2">
        <v>1</v>
      </c>
      <c r="I11" s="1">
        <v>250</v>
      </c>
      <c r="J11" s="1">
        <v>250</v>
      </c>
      <c r="K11" s="1">
        <v>162.5</v>
      </c>
      <c r="L11" s="1">
        <v>87.5</v>
      </c>
    </row>
    <row r="12" spans="1:12" x14ac:dyDescent="0.3">
      <c r="A12" t="s">
        <v>38</v>
      </c>
      <c r="B12" s="3">
        <v>46030</v>
      </c>
      <c r="C12" t="s">
        <v>46</v>
      </c>
      <c r="D12" t="s">
        <v>22</v>
      </c>
      <c r="E12" t="s">
        <v>556</v>
      </c>
      <c r="F12" t="s">
        <v>27</v>
      </c>
      <c r="G12" t="s">
        <v>59</v>
      </c>
      <c r="H12" s="2">
        <v>3</v>
      </c>
      <c r="I12" s="1">
        <v>6500</v>
      </c>
      <c r="J12" s="1">
        <v>19500</v>
      </c>
      <c r="K12" s="1">
        <v>14040</v>
      </c>
      <c r="L12" s="1">
        <v>5460</v>
      </c>
    </row>
    <row r="13" spans="1:12" x14ac:dyDescent="0.3">
      <c r="A13" t="s">
        <v>39</v>
      </c>
      <c r="B13" s="3">
        <v>46031</v>
      </c>
      <c r="C13" t="s">
        <v>576</v>
      </c>
      <c r="D13" t="s">
        <v>20</v>
      </c>
      <c r="E13" t="s">
        <v>23</v>
      </c>
      <c r="F13" t="s">
        <v>560</v>
      </c>
      <c r="G13" t="s">
        <v>567</v>
      </c>
      <c r="H13" s="2">
        <v>5</v>
      </c>
      <c r="I13" s="1">
        <v>300</v>
      </c>
      <c r="J13" s="1">
        <v>1500</v>
      </c>
      <c r="K13" s="1">
        <v>825.00000000000011</v>
      </c>
      <c r="L13" s="1">
        <v>674.99999999999989</v>
      </c>
    </row>
    <row r="14" spans="1:12" x14ac:dyDescent="0.3">
      <c r="A14" t="s">
        <v>40</v>
      </c>
      <c r="B14" s="3">
        <v>46031</v>
      </c>
      <c r="C14" t="s">
        <v>51</v>
      </c>
      <c r="D14" t="s">
        <v>20</v>
      </c>
      <c r="E14" t="s">
        <v>53</v>
      </c>
      <c r="F14" t="s">
        <v>553</v>
      </c>
      <c r="G14" t="s">
        <v>570</v>
      </c>
      <c r="H14" s="2">
        <v>2</v>
      </c>
      <c r="I14" s="1">
        <v>15000</v>
      </c>
      <c r="J14" s="1">
        <v>30000</v>
      </c>
      <c r="K14" s="1">
        <v>19500</v>
      </c>
      <c r="L14" s="1">
        <v>10500</v>
      </c>
    </row>
    <row r="15" spans="1:12" x14ac:dyDescent="0.3">
      <c r="A15" t="s">
        <v>41</v>
      </c>
      <c r="B15" s="3">
        <v>46032</v>
      </c>
      <c r="C15" t="s">
        <v>48</v>
      </c>
      <c r="D15" t="s">
        <v>22</v>
      </c>
      <c r="E15" t="s">
        <v>569</v>
      </c>
      <c r="F15" t="s">
        <v>548</v>
      </c>
      <c r="G15" t="s">
        <v>586</v>
      </c>
      <c r="H15" s="2">
        <v>6</v>
      </c>
      <c r="I15" s="1">
        <v>18000</v>
      </c>
      <c r="J15" s="1">
        <v>108000</v>
      </c>
      <c r="K15" s="1">
        <v>84240</v>
      </c>
      <c r="L15" s="1">
        <v>23760</v>
      </c>
    </row>
    <row r="16" spans="1:12" x14ac:dyDescent="0.3">
      <c r="A16" t="s">
        <v>42</v>
      </c>
      <c r="B16" s="3">
        <v>46033</v>
      </c>
      <c r="C16" t="s">
        <v>564</v>
      </c>
      <c r="D16" t="s">
        <v>20</v>
      </c>
      <c r="E16" t="s">
        <v>23</v>
      </c>
      <c r="F16" t="s">
        <v>560</v>
      </c>
      <c r="G16" t="s">
        <v>584</v>
      </c>
      <c r="H16" s="2">
        <v>7</v>
      </c>
      <c r="I16" s="1">
        <v>250</v>
      </c>
      <c r="J16" s="1">
        <v>1750</v>
      </c>
      <c r="K16" s="1">
        <v>962.50000000000011</v>
      </c>
      <c r="L16" s="1">
        <v>787.49999999999989</v>
      </c>
    </row>
    <row r="17" spans="1:12" x14ac:dyDescent="0.3">
      <c r="A17" t="s">
        <v>62</v>
      </c>
      <c r="B17" s="3">
        <v>46033</v>
      </c>
      <c r="C17" t="s">
        <v>18</v>
      </c>
      <c r="D17" t="s">
        <v>21</v>
      </c>
      <c r="E17" t="s">
        <v>562</v>
      </c>
      <c r="F17" t="s">
        <v>27</v>
      </c>
      <c r="G17" t="s">
        <v>31</v>
      </c>
      <c r="H17" s="2">
        <v>5</v>
      </c>
      <c r="I17" s="1">
        <v>7500</v>
      </c>
      <c r="J17" s="1">
        <v>37500</v>
      </c>
      <c r="K17" s="1">
        <v>27000</v>
      </c>
      <c r="L17" s="1">
        <v>10500</v>
      </c>
    </row>
    <row r="18" spans="1:12" x14ac:dyDescent="0.3">
      <c r="A18" t="s">
        <v>63</v>
      </c>
      <c r="B18" s="3">
        <v>46034</v>
      </c>
      <c r="C18" t="s">
        <v>555</v>
      </c>
      <c r="D18" t="s">
        <v>565</v>
      </c>
      <c r="E18" t="s">
        <v>571</v>
      </c>
      <c r="F18" t="s">
        <v>551</v>
      </c>
      <c r="G18" t="s">
        <v>585</v>
      </c>
      <c r="H18" s="2">
        <v>8</v>
      </c>
      <c r="I18" s="1">
        <v>500</v>
      </c>
      <c r="J18" s="1">
        <v>4000</v>
      </c>
      <c r="K18" s="1">
        <v>2400</v>
      </c>
      <c r="L18" s="1">
        <v>1600</v>
      </c>
    </row>
    <row r="19" spans="1:12" x14ac:dyDescent="0.3">
      <c r="A19" t="s">
        <v>64</v>
      </c>
      <c r="B19" s="3">
        <v>46035</v>
      </c>
      <c r="C19" t="s">
        <v>587</v>
      </c>
      <c r="D19" t="s">
        <v>20</v>
      </c>
      <c r="E19" t="s">
        <v>55</v>
      </c>
      <c r="F19" t="s">
        <v>548</v>
      </c>
      <c r="G19" t="s">
        <v>572</v>
      </c>
      <c r="H19" s="2">
        <v>2</v>
      </c>
      <c r="I19" s="1">
        <v>8000</v>
      </c>
      <c r="J19" s="1">
        <v>16000</v>
      </c>
      <c r="K19" s="1">
        <v>12480</v>
      </c>
      <c r="L19" s="1">
        <v>3520</v>
      </c>
    </row>
    <row r="20" spans="1:12" x14ac:dyDescent="0.3">
      <c r="A20" t="s">
        <v>65</v>
      </c>
      <c r="B20" s="3">
        <v>46036</v>
      </c>
      <c r="C20" t="s">
        <v>50</v>
      </c>
      <c r="D20" t="s">
        <v>565</v>
      </c>
      <c r="E20" t="s">
        <v>582</v>
      </c>
      <c r="F20" t="s">
        <v>551</v>
      </c>
      <c r="G20" t="s">
        <v>558</v>
      </c>
      <c r="H20" s="2">
        <v>2</v>
      </c>
      <c r="I20" s="1">
        <v>1500</v>
      </c>
      <c r="J20" s="1">
        <v>3000</v>
      </c>
      <c r="K20" s="1">
        <v>1800</v>
      </c>
      <c r="L20" s="1">
        <v>1200</v>
      </c>
    </row>
    <row r="21" spans="1:12" x14ac:dyDescent="0.3">
      <c r="A21" t="s">
        <v>66</v>
      </c>
      <c r="B21" s="3">
        <v>46036</v>
      </c>
      <c r="C21" t="s">
        <v>587</v>
      </c>
      <c r="D21" t="s">
        <v>20</v>
      </c>
      <c r="E21" t="s">
        <v>23</v>
      </c>
      <c r="F21" t="s">
        <v>553</v>
      </c>
      <c r="G21" t="s">
        <v>554</v>
      </c>
      <c r="H21" s="2">
        <v>2</v>
      </c>
      <c r="I21" s="1">
        <v>300</v>
      </c>
      <c r="J21" s="1">
        <v>600</v>
      </c>
      <c r="K21" s="1">
        <v>390</v>
      </c>
      <c r="L21" s="1">
        <v>210</v>
      </c>
    </row>
    <row r="22" spans="1:12" x14ac:dyDescent="0.3">
      <c r="A22" t="s">
        <v>67</v>
      </c>
      <c r="B22" s="3">
        <v>46037</v>
      </c>
      <c r="C22" t="s">
        <v>576</v>
      </c>
      <c r="D22" t="s">
        <v>21</v>
      </c>
      <c r="E22" t="s">
        <v>25</v>
      </c>
      <c r="F22" t="s">
        <v>27</v>
      </c>
      <c r="G22" t="s">
        <v>61</v>
      </c>
      <c r="H22" s="2">
        <v>5</v>
      </c>
      <c r="I22" s="1">
        <v>28000</v>
      </c>
      <c r="J22" s="1">
        <v>140000</v>
      </c>
      <c r="K22" s="1">
        <v>100800</v>
      </c>
      <c r="L22" s="1">
        <v>39200</v>
      </c>
    </row>
    <row r="23" spans="1:12" x14ac:dyDescent="0.3">
      <c r="A23" t="s">
        <v>68</v>
      </c>
      <c r="B23" s="3">
        <v>46038</v>
      </c>
      <c r="C23" t="s">
        <v>43</v>
      </c>
      <c r="D23" t="s">
        <v>565</v>
      </c>
      <c r="E23" t="s">
        <v>566</v>
      </c>
      <c r="F23" t="s">
        <v>548</v>
      </c>
      <c r="G23" t="s">
        <v>578</v>
      </c>
      <c r="H23" s="2">
        <v>7</v>
      </c>
      <c r="I23" s="1">
        <v>12000</v>
      </c>
      <c r="J23" s="1">
        <v>84000</v>
      </c>
      <c r="K23" s="1">
        <v>65520</v>
      </c>
      <c r="L23" s="1">
        <v>18480</v>
      </c>
    </row>
    <row r="24" spans="1:12" x14ac:dyDescent="0.3">
      <c r="A24" t="s">
        <v>69</v>
      </c>
      <c r="B24" s="3">
        <v>46039</v>
      </c>
      <c r="C24" t="s">
        <v>51</v>
      </c>
      <c r="D24" t="s">
        <v>565</v>
      </c>
      <c r="E24" t="s">
        <v>566</v>
      </c>
      <c r="F24" t="s">
        <v>560</v>
      </c>
      <c r="G24" t="s">
        <v>567</v>
      </c>
      <c r="H24" s="2">
        <v>4</v>
      </c>
      <c r="I24" s="1">
        <v>300</v>
      </c>
      <c r="J24" s="1">
        <v>1200</v>
      </c>
      <c r="K24" s="1">
        <v>660</v>
      </c>
      <c r="L24" s="1">
        <v>540</v>
      </c>
    </row>
    <row r="25" spans="1:12" x14ac:dyDescent="0.3">
      <c r="A25" t="s">
        <v>70</v>
      </c>
      <c r="B25" s="3">
        <v>46039</v>
      </c>
      <c r="C25" t="s">
        <v>44</v>
      </c>
      <c r="D25" t="s">
        <v>22</v>
      </c>
      <c r="E25" t="s">
        <v>569</v>
      </c>
      <c r="F25" t="s">
        <v>551</v>
      </c>
      <c r="G25" t="s">
        <v>558</v>
      </c>
      <c r="H25" s="2">
        <v>1</v>
      </c>
      <c r="I25" s="1">
        <v>1500</v>
      </c>
      <c r="J25" s="1">
        <v>1500</v>
      </c>
      <c r="K25" s="1">
        <v>900</v>
      </c>
      <c r="L25" s="1">
        <v>600</v>
      </c>
    </row>
    <row r="26" spans="1:12" x14ac:dyDescent="0.3">
      <c r="A26" t="s">
        <v>71</v>
      </c>
      <c r="B26" s="3">
        <v>46040</v>
      </c>
      <c r="C26" t="s">
        <v>555</v>
      </c>
      <c r="D26" t="s">
        <v>20</v>
      </c>
      <c r="E26" t="s">
        <v>550</v>
      </c>
      <c r="F26" t="s">
        <v>548</v>
      </c>
      <c r="G26" t="s">
        <v>549</v>
      </c>
      <c r="H26" s="2">
        <v>7</v>
      </c>
      <c r="I26" s="1">
        <v>40000</v>
      </c>
      <c r="J26" s="1">
        <v>280000</v>
      </c>
      <c r="K26" s="1">
        <v>218400</v>
      </c>
      <c r="L26" s="1">
        <v>61600</v>
      </c>
    </row>
    <row r="27" spans="1:12" x14ac:dyDescent="0.3">
      <c r="A27" t="s">
        <v>72</v>
      </c>
      <c r="B27" s="3">
        <v>46041</v>
      </c>
      <c r="C27" t="s">
        <v>18</v>
      </c>
      <c r="D27" t="s">
        <v>22</v>
      </c>
      <c r="E27" t="s">
        <v>26</v>
      </c>
      <c r="F27" t="s">
        <v>551</v>
      </c>
      <c r="G27" t="s">
        <v>579</v>
      </c>
      <c r="H27" s="2">
        <v>7</v>
      </c>
      <c r="I27" s="1">
        <v>700</v>
      </c>
      <c r="J27" s="1">
        <v>4900</v>
      </c>
      <c r="K27" s="1">
        <v>2940</v>
      </c>
      <c r="L27" s="1">
        <v>1960</v>
      </c>
    </row>
    <row r="28" spans="1:12" x14ac:dyDescent="0.3">
      <c r="A28" t="s">
        <v>73</v>
      </c>
      <c r="B28" s="3">
        <v>46041</v>
      </c>
      <c r="C28" t="s">
        <v>576</v>
      </c>
      <c r="D28" t="s">
        <v>20</v>
      </c>
      <c r="E28" t="s">
        <v>23</v>
      </c>
      <c r="F28" t="s">
        <v>28</v>
      </c>
      <c r="G28" t="s">
        <v>32</v>
      </c>
      <c r="H28" s="2">
        <v>4</v>
      </c>
      <c r="I28" s="1">
        <v>1800</v>
      </c>
      <c r="J28" s="1">
        <v>7200</v>
      </c>
      <c r="K28" s="1">
        <v>5904</v>
      </c>
      <c r="L28" s="1">
        <v>1296</v>
      </c>
    </row>
    <row r="29" spans="1:12" x14ac:dyDescent="0.3">
      <c r="A29" t="s">
        <v>74</v>
      </c>
      <c r="B29" s="3">
        <v>46042</v>
      </c>
      <c r="C29" t="s">
        <v>52</v>
      </c>
      <c r="D29" t="s">
        <v>22</v>
      </c>
      <c r="E29" t="s">
        <v>26</v>
      </c>
      <c r="F29" t="s">
        <v>560</v>
      </c>
      <c r="G29" t="s">
        <v>561</v>
      </c>
      <c r="H29" s="2">
        <v>4</v>
      </c>
      <c r="I29" s="1">
        <v>400</v>
      </c>
      <c r="J29" s="1">
        <v>1600</v>
      </c>
      <c r="K29" s="1">
        <v>880.00000000000011</v>
      </c>
      <c r="L29" s="1">
        <v>719.99999999999989</v>
      </c>
    </row>
    <row r="30" spans="1:12" x14ac:dyDescent="0.3">
      <c r="A30" t="s">
        <v>75</v>
      </c>
      <c r="B30" s="3">
        <v>46043</v>
      </c>
      <c r="C30" t="s">
        <v>43</v>
      </c>
      <c r="D30" t="s">
        <v>22</v>
      </c>
      <c r="E30" t="s">
        <v>54</v>
      </c>
      <c r="F30" t="s">
        <v>27</v>
      </c>
      <c r="G30" t="s">
        <v>59</v>
      </c>
      <c r="H30" s="2">
        <v>1</v>
      </c>
      <c r="I30" s="1">
        <v>6500</v>
      </c>
      <c r="J30" s="1">
        <v>6500</v>
      </c>
      <c r="K30" s="1">
        <v>4680</v>
      </c>
      <c r="L30" s="1">
        <v>1820</v>
      </c>
    </row>
    <row r="31" spans="1:12" x14ac:dyDescent="0.3">
      <c r="A31" t="s">
        <v>76</v>
      </c>
      <c r="B31" s="3">
        <v>46044</v>
      </c>
      <c r="C31" t="s">
        <v>564</v>
      </c>
      <c r="D31" t="s">
        <v>565</v>
      </c>
      <c r="E31" t="s">
        <v>568</v>
      </c>
      <c r="F31" t="s">
        <v>560</v>
      </c>
      <c r="G31" t="s">
        <v>575</v>
      </c>
      <c r="H31" s="2">
        <v>1</v>
      </c>
      <c r="I31" s="1">
        <v>200</v>
      </c>
      <c r="J31" s="1">
        <v>200</v>
      </c>
      <c r="K31" s="1">
        <v>110.00000000000001</v>
      </c>
      <c r="L31" s="1">
        <v>89.999999999999986</v>
      </c>
    </row>
    <row r="32" spans="1:12" x14ac:dyDescent="0.3">
      <c r="A32" t="s">
        <v>77</v>
      </c>
      <c r="B32" s="3">
        <v>46044</v>
      </c>
      <c r="C32" t="s">
        <v>51</v>
      </c>
      <c r="D32" t="s">
        <v>22</v>
      </c>
      <c r="E32" t="s">
        <v>556</v>
      </c>
      <c r="F32" t="s">
        <v>553</v>
      </c>
      <c r="G32" t="s">
        <v>563</v>
      </c>
      <c r="H32" s="2">
        <v>7</v>
      </c>
      <c r="I32" s="1">
        <v>500</v>
      </c>
      <c r="J32" s="1">
        <v>3500</v>
      </c>
      <c r="K32" s="1">
        <v>2275</v>
      </c>
      <c r="L32" s="1">
        <v>1225</v>
      </c>
    </row>
    <row r="33" spans="1:12" x14ac:dyDescent="0.3">
      <c r="A33" t="s">
        <v>78</v>
      </c>
      <c r="B33" s="3">
        <v>46045</v>
      </c>
      <c r="C33" t="s">
        <v>46</v>
      </c>
      <c r="D33" t="s">
        <v>565</v>
      </c>
      <c r="E33" t="s">
        <v>571</v>
      </c>
      <c r="F33" t="s">
        <v>560</v>
      </c>
      <c r="G33" t="s">
        <v>584</v>
      </c>
      <c r="H33" s="2">
        <v>2</v>
      </c>
      <c r="I33" s="1">
        <v>250</v>
      </c>
      <c r="J33" s="1">
        <v>500</v>
      </c>
      <c r="K33" s="1">
        <v>275</v>
      </c>
      <c r="L33" s="1">
        <v>225</v>
      </c>
    </row>
    <row r="34" spans="1:12" x14ac:dyDescent="0.3">
      <c r="A34" t="s">
        <v>79</v>
      </c>
      <c r="B34" s="3">
        <v>46046</v>
      </c>
      <c r="C34" t="s">
        <v>45</v>
      </c>
      <c r="D34" t="s">
        <v>21</v>
      </c>
      <c r="E34" t="s">
        <v>25</v>
      </c>
      <c r="F34" t="s">
        <v>560</v>
      </c>
      <c r="G34" t="s">
        <v>561</v>
      </c>
      <c r="H34" s="2">
        <v>8</v>
      </c>
      <c r="I34" s="1">
        <v>400</v>
      </c>
      <c r="J34" s="1">
        <v>3200</v>
      </c>
      <c r="K34" s="1">
        <v>1760.0000000000002</v>
      </c>
      <c r="L34" s="1">
        <v>1439.9999999999998</v>
      </c>
    </row>
    <row r="35" spans="1:12" x14ac:dyDescent="0.3">
      <c r="A35" t="s">
        <v>80</v>
      </c>
      <c r="B35" s="3">
        <v>46047</v>
      </c>
      <c r="C35" t="s">
        <v>45</v>
      </c>
      <c r="D35" t="s">
        <v>22</v>
      </c>
      <c r="E35" t="s">
        <v>26</v>
      </c>
      <c r="F35" t="s">
        <v>560</v>
      </c>
      <c r="G35" t="s">
        <v>584</v>
      </c>
      <c r="H35" s="2">
        <v>4</v>
      </c>
      <c r="I35" s="1">
        <v>250</v>
      </c>
      <c r="J35" s="1">
        <v>1000</v>
      </c>
      <c r="K35" s="1">
        <v>550</v>
      </c>
      <c r="L35" s="1">
        <v>450</v>
      </c>
    </row>
    <row r="36" spans="1:12" x14ac:dyDescent="0.3">
      <c r="A36" t="s">
        <v>81</v>
      </c>
      <c r="B36" s="3">
        <v>46047</v>
      </c>
      <c r="C36" t="s">
        <v>49</v>
      </c>
      <c r="D36" t="s">
        <v>20</v>
      </c>
      <c r="E36" t="s">
        <v>53</v>
      </c>
      <c r="F36" t="s">
        <v>551</v>
      </c>
      <c r="G36" t="s">
        <v>579</v>
      </c>
      <c r="H36" s="2">
        <v>4</v>
      </c>
      <c r="I36" s="1">
        <v>700</v>
      </c>
      <c r="J36" s="1">
        <v>2800</v>
      </c>
      <c r="K36" s="1">
        <v>1680</v>
      </c>
      <c r="L36" s="1">
        <v>1120</v>
      </c>
    </row>
    <row r="37" spans="1:12" x14ac:dyDescent="0.3">
      <c r="A37" t="s">
        <v>82</v>
      </c>
      <c r="B37" s="3">
        <v>46048</v>
      </c>
      <c r="C37" t="s">
        <v>547</v>
      </c>
      <c r="D37" t="s">
        <v>565</v>
      </c>
      <c r="E37" t="s">
        <v>568</v>
      </c>
      <c r="F37" t="s">
        <v>28</v>
      </c>
      <c r="G37" t="s">
        <v>60</v>
      </c>
      <c r="H37" s="2">
        <v>2</v>
      </c>
      <c r="I37" s="1">
        <v>2500</v>
      </c>
      <c r="J37" s="1">
        <v>5000</v>
      </c>
      <c r="K37" s="1">
        <v>4100</v>
      </c>
      <c r="L37" s="1">
        <v>900</v>
      </c>
    </row>
    <row r="38" spans="1:12" x14ac:dyDescent="0.3">
      <c r="A38" t="s">
        <v>83</v>
      </c>
      <c r="B38" s="3">
        <v>46049</v>
      </c>
      <c r="C38" t="s">
        <v>555</v>
      </c>
      <c r="D38" t="s">
        <v>21</v>
      </c>
      <c r="E38" t="s">
        <v>562</v>
      </c>
      <c r="F38" t="s">
        <v>560</v>
      </c>
      <c r="G38" t="s">
        <v>584</v>
      </c>
      <c r="H38" s="2">
        <v>8</v>
      </c>
      <c r="I38" s="1">
        <v>250</v>
      </c>
      <c r="J38" s="1">
        <v>2000</v>
      </c>
      <c r="K38" s="1">
        <v>1100</v>
      </c>
      <c r="L38" s="1">
        <v>900</v>
      </c>
    </row>
    <row r="39" spans="1:12" x14ac:dyDescent="0.3">
      <c r="A39" t="s">
        <v>84</v>
      </c>
      <c r="B39" s="3">
        <v>46049</v>
      </c>
      <c r="C39" t="s">
        <v>573</v>
      </c>
      <c r="D39" t="s">
        <v>20</v>
      </c>
      <c r="E39" t="s">
        <v>55</v>
      </c>
      <c r="F39" t="s">
        <v>560</v>
      </c>
      <c r="G39" t="s">
        <v>561</v>
      </c>
      <c r="H39" s="2">
        <v>8</v>
      </c>
      <c r="I39" s="1">
        <v>400</v>
      </c>
      <c r="J39" s="1">
        <v>3200</v>
      </c>
      <c r="K39" s="1">
        <v>1760.0000000000002</v>
      </c>
      <c r="L39" s="1">
        <v>1439.9999999999998</v>
      </c>
    </row>
    <row r="40" spans="1:12" x14ac:dyDescent="0.3">
      <c r="A40" t="s">
        <v>85</v>
      </c>
      <c r="B40" s="3">
        <v>46050</v>
      </c>
      <c r="C40" t="s">
        <v>49</v>
      </c>
      <c r="D40" t="s">
        <v>565</v>
      </c>
      <c r="E40" t="s">
        <v>566</v>
      </c>
      <c r="F40" t="s">
        <v>548</v>
      </c>
      <c r="G40" t="s">
        <v>586</v>
      </c>
      <c r="H40" s="2">
        <v>1</v>
      </c>
      <c r="I40" s="1">
        <v>18000</v>
      </c>
      <c r="J40" s="1">
        <v>18000</v>
      </c>
      <c r="K40" s="1">
        <v>14040</v>
      </c>
      <c r="L40" s="1">
        <v>3960</v>
      </c>
    </row>
    <row r="41" spans="1:12" x14ac:dyDescent="0.3">
      <c r="A41" t="s">
        <v>86</v>
      </c>
      <c r="B41" s="3">
        <v>46051</v>
      </c>
      <c r="C41" t="s">
        <v>44</v>
      </c>
      <c r="D41" t="s">
        <v>21</v>
      </c>
      <c r="E41" t="s">
        <v>562</v>
      </c>
      <c r="F41" t="s">
        <v>28</v>
      </c>
      <c r="G41" t="s">
        <v>32</v>
      </c>
      <c r="H41" s="2">
        <v>7</v>
      </c>
      <c r="I41" s="1">
        <v>1800</v>
      </c>
      <c r="J41" s="1">
        <v>12600</v>
      </c>
      <c r="K41" s="1">
        <v>10332</v>
      </c>
      <c r="L41" s="1">
        <v>2268</v>
      </c>
    </row>
    <row r="42" spans="1:12" x14ac:dyDescent="0.3">
      <c r="A42" t="s">
        <v>87</v>
      </c>
      <c r="B42" s="3">
        <v>46052</v>
      </c>
      <c r="C42" t="s">
        <v>50</v>
      </c>
      <c r="D42" t="s">
        <v>565</v>
      </c>
      <c r="E42" t="s">
        <v>568</v>
      </c>
      <c r="F42" t="s">
        <v>27</v>
      </c>
      <c r="G42" t="s">
        <v>61</v>
      </c>
      <c r="H42" s="2">
        <v>2</v>
      </c>
      <c r="I42" s="1">
        <v>28000</v>
      </c>
      <c r="J42" s="1">
        <v>56000</v>
      </c>
      <c r="K42" s="1">
        <v>40320</v>
      </c>
      <c r="L42" s="1">
        <v>15680</v>
      </c>
    </row>
    <row r="43" spans="1:12" x14ac:dyDescent="0.3">
      <c r="A43" t="s">
        <v>88</v>
      </c>
      <c r="B43" s="3">
        <v>46052</v>
      </c>
      <c r="C43" t="s">
        <v>51</v>
      </c>
      <c r="D43" t="s">
        <v>565</v>
      </c>
      <c r="E43" t="s">
        <v>568</v>
      </c>
      <c r="F43" t="s">
        <v>553</v>
      </c>
      <c r="G43" t="s">
        <v>563</v>
      </c>
      <c r="H43" s="2">
        <v>8</v>
      </c>
      <c r="I43" s="1">
        <v>500</v>
      </c>
      <c r="J43" s="1">
        <v>4000</v>
      </c>
      <c r="K43" s="1">
        <v>2600</v>
      </c>
      <c r="L43" s="1">
        <v>1400</v>
      </c>
    </row>
    <row r="44" spans="1:12" x14ac:dyDescent="0.3">
      <c r="A44" t="s">
        <v>89</v>
      </c>
      <c r="B44" s="3">
        <v>46053</v>
      </c>
      <c r="C44" t="s">
        <v>45</v>
      </c>
      <c r="D44" t="s">
        <v>565</v>
      </c>
      <c r="E44" t="s">
        <v>568</v>
      </c>
      <c r="F44" t="s">
        <v>551</v>
      </c>
      <c r="G44" t="s">
        <v>585</v>
      </c>
      <c r="H44" s="2">
        <v>5</v>
      </c>
      <c r="I44" s="1">
        <v>500</v>
      </c>
      <c r="J44" s="1">
        <v>2500</v>
      </c>
      <c r="K44" s="1">
        <v>1500</v>
      </c>
      <c r="L44" s="1">
        <v>1000</v>
      </c>
    </row>
    <row r="45" spans="1:12" x14ac:dyDescent="0.3">
      <c r="A45" t="s">
        <v>90</v>
      </c>
      <c r="B45" s="3">
        <v>46054</v>
      </c>
      <c r="C45" t="s">
        <v>576</v>
      </c>
      <c r="D45" t="s">
        <v>21</v>
      </c>
      <c r="E45" t="s">
        <v>25</v>
      </c>
      <c r="F45" t="s">
        <v>551</v>
      </c>
      <c r="G45" t="s">
        <v>580</v>
      </c>
      <c r="H45" s="2">
        <v>3</v>
      </c>
      <c r="I45" s="1">
        <v>1800</v>
      </c>
      <c r="J45" s="1">
        <v>5400</v>
      </c>
      <c r="K45" s="1">
        <v>3240</v>
      </c>
      <c r="L45" s="1">
        <v>2160</v>
      </c>
    </row>
    <row r="46" spans="1:12" x14ac:dyDescent="0.3">
      <c r="A46" t="s">
        <v>91</v>
      </c>
      <c r="B46" s="3">
        <v>46055</v>
      </c>
      <c r="C46" t="s">
        <v>44</v>
      </c>
      <c r="D46" t="s">
        <v>21</v>
      </c>
      <c r="E46" t="s">
        <v>25</v>
      </c>
      <c r="F46" t="s">
        <v>28</v>
      </c>
      <c r="G46" t="s">
        <v>58</v>
      </c>
      <c r="H46" s="2">
        <v>1</v>
      </c>
      <c r="I46" s="1">
        <v>900</v>
      </c>
      <c r="J46" s="1">
        <v>900</v>
      </c>
      <c r="K46" s="1">
        <v>738</v>
      </c>
      <c r="L46" s="1">
        <v>162</v>
      </c>
    </row>
    <row r="47" spans="1:12" x14ac:dyDescent="0.3">
      <c r="A47" t="s">
        <v>92</v>
      </c>
      <c r="B47" s="3">
        <v>46055</v>
      </c>
      <c r="C47" t="s">
        <v>52</v>
      </c>
      <c r="D47" t="s">
        <v>22</v>
      </c>
      <c r="E47" t="s">
        <v>26</v>
      </c>
      <c r="F47" t="s">
        <v>27</v>
      </c>
      <c r="G47" t="s">
        <v>29</v>
      </c>
      <c r="H47" s="2">
        <v>3</v>
      </c>
      <c r="I47" s="1">
        <v>4500</v>
      </c>
      <c r="J47" s="1">
        <v>13500</v>
      </c>
      <c r="K47" s="1">
        <v>9720</v>
      </c>
      <c r="L47" s="1">
        <v>3780</v>
      </c>
    </row>
    <row r="48" spans="1:12" x14ac:dyDescent="0.3">
      <c r="A48" t="s">
        <v>93</v>
      </c>
      <c r="B48" s="3">
        <v>46056</v>
      </c>
      <c r="C48" t="s">
        <v>19</v>
      </c>
      <c r="D48" t="s">
        <v>21</v>
      </c>
      <c r="E48" t="s">
        <v>559</v>
      </c>
      <c r="F48" t="s">
        <v>551</v>
      </c>
      <c r="G48" t="s">
        <v>552</v>
      </c>
      <c r="H48" s="2">
        <v>3</v>
      </c>
      <c r="I48" s="1">
        <v>2500</v>
      </c>
      <c r="J48" s="1">
        <v>7500</v>
      </c>
      <c r="K48" s="1">
        <v>4500</v>
      </c>
      <c r="L48" s="1">
        <v>3000</v>
      </c>
    </row>
    <row r="49" spans="1:12" x14ac:dyDescent="0.3">
      <c r="A49" t="s">
        <v>94</v>
      </c>
      <c r="B49" s="3">
        <v>46057</v>
      </c>
      <c r="C49" t="s">
        <v>573</v>
      </c>
      <c r="D49" t="s">
        <v>21</v>
      </c>
      <c r="E49" t="s">
        <v>562</v>
      </c>
      <c r="F49" t="s">
        <v>27</v>
      </c>
      <c r="G49" t="s">
        <v>57</v>
      </c>
      <c r="H49" s="2">
        <v>1</v>
      </c>
      <c r="I49" s="1">
        <v>8500</v>
      </c>
      <c r="J49" s="1">
        <v>8500</v>
      </c>
      <c r="K49" s="1">
        <v>6120</v>
      </c>
      <c r="L49" s="1">
        <v>2380</v>
      </c>
    </row>
    <row r="50" spans="1:12" x14ac:dyDescent="0.3">
      <c r="A50" t="s">
        <v>95</v>
      </c>
      <c r="B50" s="3">
        <v>46058</v>
      </c>
      <c r="C50" t="s">
        <v>564</v>
      </c>
      <c r="D50" t="s">
        <v>565</v>
      </c>
      <c r="E50" t="s">
        <v>582</v>
      </c>
      <c r="F50" t="s">
        <v>560</v>
      </c>
      <c r="G50" t="s">
        <v>561</v>
      </c>
      <c r="H50" s="2">
        <v>8</v>
      </c>
      <c r="I50" s="1">
        <v>400</v>
      </c>
      <c r="J50" s="1">
        <v>3200</v>
      </c>
      <c r="K50" s="1">
        <v>1760.0000000000002</v>
      </c>
      <c r="L50" s="1">
        <v>1439.9999999999998</v>
      </c>
    </row>
    <row r="51" spans="1:12" x14ac:dyDescent="0.3">
      <c r="A51" t="s">
        <v>96</v>
      </c>
      <c r="B51" s="3">
        <v>46058</v>
      </c>
      <c r="C51" t="s">
        <v>17</v>
      </c>
      <c r="D51" t="s">
        <v>565</v>
      </c>
      <c r="E51" t="s">
        <v>568</v>
      </c>
      <c r="F51" t="s">
        <v>553</v>
      </c>
      <c r="G51" t="s">
        <v>577</v>
      </c>
      <c r="H51" s="2">
        <v>1</v>
      </c>
      <c r="I51" s="1">
        <v>250</v>
      </c>
      <c r="J51" s="1">
        <v>250</v>
      </c>
      <c r="K51" s="1">
        <v>162.5</v>
      </c>
      <c r="L51" s="1">
        <v>87.5</v>
      </c>
    </row>
    <row r="52" spans="1:12" x14ac:dyDescent="0.3">
      <c r="A52" t="s">
        <v>97</v>
      </c>
      <c r="B52" s="3">
        <v>46059</v>
      </c>
      <c r="C52" t="s">
        <v>47</v>
      </c>
      <c r="D52" t="s">
        <v>21</v>
      </c>
      <c r="E52" t="s">
        <v>562</v>
      </c>
      <c r="F52" t="s">
        <v>548</v>
      </c>
      <c r="G52" t="s">
        <v>572</v>
      </c>
      <c r="H52" s="2">
        <v>4</v>
      </c>
      <c r="I52" s="1">
        <v>8000</v>
      </c>
      <c r="J52" s="1">
        <v>32000</v>
      </c>
      <c r="K52" s="1">
        <v>24960</v>
      </c>
      <c r="L52" s="1">
        <v>7040</v>
      </c>
    </row>
    <row r="53" spans="1:12" x14ac:dyDescent="0.3">
      <c r="A53" t="s">
        <v>98</v>
      </c>
      <c r="B53" s="3">
        <v>46060</v>
      </c>
      <c r="C53" t="s">
        <v>50</v>
      </c>
      <c r="D53" t="s">
        <v>22</v>
      </c>
      <c r="E53" t="s">
        <v>569</v>
      </c>
      <c r="F53" t="s">
        <v>27</v>
      </c>
      <c r="G53" t="s">
        <v>31</v>
      </c>
      <c r="H53" s="2">
        <v>6</v>
      </c>
      <c r="I53" s="1">
        <v>7500</v>
      </c>
      <c r="J53" s="1">
        <v>45000</v>
      </c>
      <c r="K53" s="1">
        <v>32400</v>
      </c>
      <c r="L53" s="1">
        <v>12600</v>
      </c>
    </row>
    <row r="54" spans="1:12" x14ac:dyDescent="0.3">
      <c r="A54" t="s">
        <v>99</v>
      </c>
      <c r="B54" s="3">
        <v>46060</v>
      </c>
      <c r="C54" t="s">
        <v>564</v>
      </c>
      <c r="D54" t="s">
        <v>20</v>
      </c>
      <c r="E54" t="s">
        <v>53</v>
      </c>
      <c r="F54" t="s">
        <v>28</v>
      </c>
      <c r="G54" t="s">
        <v>56</v>
      </c>
      <c r="H54" s="2">
        <v>4</v>
      </c>
      <c r="I54" s="1">
        <v>55000</v>
      </c>
      <c r="J54" s="1">
        <v>220000</v>
      </c>
      <c r="K54" s="1">
        <v>180400</v>
      </c>
      <c r="L54" s="1">
        <v>39600</v>
      </c>
    </row>
    <row r="55" spans="1:12" x14ac:dyDescent="0.3">
      <c r="A55" t="s">
        <v>100</v>
      </c>
      <c r="B55" s="3">
        <v>46061</v>
      </c>
      <c r="C55" t="s">
        <v>564</v>
      </c>
      <c r="D55" t="s">
        <v>22</v>
      </c>
      <c r="E55" t="s">
        <v>26</v>
      </c>
      <c r="F55" t="s">
        <v>548</v>
      </c>
      <c r="G55" t="s">
        <v>572</v>
      </c>
      <c r="H55" s="2">
        <v>1</v>
      </c>
      <c r="I55" s="1">
        <v>8000</v>
      </c>
      <c r="J55" s="1">
        <v>8000</v>
      </c>
      <c r="K55" s="1">
        <v>6240</v>
      </c>
      <c r="L55" s="1">
        <v>1760</v>
      </c>
    </row>
    <row r="56" spans="1:12" x14ac:dyDescent="0.3">
      <c r="A56" t="s">
        <v>101</v>
      </c>
      <c r="B56" s="3">
        <v>46062</v>
      </c>
      <c r="C56" t="s">
        <v>44</v>
      </c>
      <c r="D56" t="s">
        <v>20</v>
      </c>
      <c r="E56" t="s">
        <v>53</v>
      </c>
      <c r="F56" t="s">
        <v>551</v>
      </c>
      <c r="G56" t="s">
        <v>552</v>
      </c>
      <c r="H56" s="2">
        <v>4</v>
      </c>
      <c r="I56" s="1">
        <v>2500</v>
      </c>
      <c r="J56" s="1">
        <v>10000</v>
      </c>
      <c r="K56" s="1">
        <v>6000</v>
      </c>
      <c r="L56" s="1">
        <v>4000</v>
      </c>
    </row>
    <row r="57" spans="1:12" x14ac:dyDescent="0.3">
      <c r="A57" t="s">
        <v>102</v>
      </c>
      <c r="B57" s="3">
        <v>46063</v>
      </c>
      <c r="C57" t="s">
        <v>547</v>
      </c>
      <c r="D57" t="s">
        <v>22</v>
      </c>
      <c r="E57" t="s">
        <v>556</v>
      </c>
      <c r="F57" t="s">
        <v>551</v>
      </c>
      <c r="G57" t="s">
        <v>580</v>
      </c>
      <c r="H57" s="2">
        <v>5</v>
      </c>
      <c r="I57" s="1">
        <v>1800</v>
      </c>
      <c r="J57" s="1">
        <v>9000</v>
      </c>
      <c r="K57" s="1">
        <v>5400</v>
      </c>
      <c r="L57" s="1">
        <v>3600</v>
      </c>
    </row>
    <row r="58" spans="1:12" x14ac:dyDescent="0.3">
      <c r="A58" t="s">
        <v>103</v>
      </c>
      <c r="B58" s="3">
        <v>46063</v>
      </c>
      <c r="C58" t="s">
        <v>587</v>
      </c>
      <c r="D58" t="s">
        <v>20</v>
      </c>
      <c r="E58" t="s">
        <v>550</v>
      </c>
      <c r="F58" t="s">
        <v>551</v>
      </c>
      <c r="G58" t="s">
        <v>585</v>
      </c>
      <c r="H58" s="2">
        <v>6</v>
      </c>
      <c r="I58" s="1">
        <v>500</v>
      </c>
      <c r="J58" s="1">
        <v>3000</v>
      </c>
      <c r="K58" s="1">
        <v>1800</v>
      </c>
      <c r="L58" s="1">
        <v>1200</v>
      </c>
    </row>
    <row r="59" spans="1:12" x14ac:dyDescent="0.3">
      <c r="A59" t="s">
        <v>104</v>
      </c>
      <c r="B59" s="3">
        <v>46064</v>
      </c>
      <c r="C59" t="s">
        <v>43</v>
      </c>
      <c r="D59" t="s">
        <v>21</v>
      </c>
      <c r="E59" t="s">
        <v>24</v>
      </c>
      <c r="F59" t="s">
        <v>553</v>
      </c>
      <c r="G59" t="s">
        <v>570</v>
      </c>
      <c r="H59" s="2">
        <v>1</v>
      </c>
      <c r="I59" s="1">
        <v>15000</v>
      </c>
      <c r="J59" s="1">
        <v>15000</v>
      </c>
      <c r="K59" s="1">
        <v>9750</v>
      </c>
      <c r="L59" s="1">
        <v>5250</v>
      </c>
    </row>
    <row r="60" spans="1:12" x14ac:dyDescent="0.3">
      <c r="A60" t="s">
        <v>105</v>
      </c>
      <c r="B60" s="3">
        <v>46065</v>
      </c>
      <c r="C60" t="s">
        <v>555</v>
      </c>
      <c r="D60" t="s">
        <v>20</v>
      </c>
      <c r="E60" t="s">
        <v>550</v>
      </c>
      <c r="F60" t="s">
        <v>28</v>
      </c>
      <c r="G60" t="s">
        <v>60</v>
      </c>
      <c r="H60" s="2">
        <v>4</v>
      </c>
      <c r="I60" s="1">
        <v>2500</v>
      </c>
      <c r="J60" s="1">
        <v>10000</v>
      </c>
      <c r="K60" s="1">
        <v>8200</v>
      </c>
      <c r="L60" s="1">
        <v>1800</v>
      </c>
    </row>
    <row r="61" spans="1:12" x14ac:dyDescent="0.3">
      <c r="A61" t="s">
        <v>106</v>
      </c>
      <c r="B61" s="3">
        <v>46066</v>
      </c>
      <c r="C61" t="s">
        <v>48</v>
      </c>
      <c r="D61" t="s">
        <v>20</v>
      </c>
      <c r="E61" t="s">
        <v>55</v>
      </c>
      <c r="F61" t="s">
        <v>551</v>
      </c>
      <c r="G61" t="s">
        <v>585</v>
      </c>
      <c r="H61" s="2">
        <v>7</v>
      </c>
      <c r="I61" s="1">
        <v>500</v>
      </c>
      <c r="J61" s="1">
        <v>3500</v>
      </c>
      <c r="K61" s="1">
        <v>2100</v>
      </c>
      <c r="L61" s="1">
        <v>1400</v>
      </c>
    </row>
    <row r="62" spans="1:12" x14ac:dyDescent="0.3">
      <c r="A62" t="s">
        <v>107</v>
      </c>
      <c r="B62" s="3">
        <v>46066</v>
      </c>
      <c r="C62" t="s">
        <v>573</v>
      </c>
      <c r="D62" t="s">
        <v>565</v>
      </c>
      <c r="E62" t="s">
        <v>568</v>
      </c>
      <c r="F62" t="s">
        <v>560</v>
      </c>
      <c r="G62" t="s">
        <v>561</v>
      </c>
      <c r="H62" s="2">
        <v>6</v>
      </c>
      <c r="I62" s="1">
        <v>400</v>
      </c>
      <c r="J62" s="1">
        <v>2400</v>
      </c>
      <c r="K62" s="1">
        <v>1320</v>
      </c>
      <c r="L62" s="1">
        <v>1080</v>
      </c>
    </row>
    <row r="63" spans="1:12" x14ac:dyDescent="0.3">
      <c r="A63" t="s">
        <v>108</v>
      </c>
      <c r="B63" s="3">
        <v>46067</v>
      </c>
      <c r="C63" t="s">
        <v>583</v>
      </c>
      <c r="D63" t="s">
        <v>21</v>
      </c>
      <c r="E63" t="s">
        <v>24</v>
      </c>
      <c r="F63" t="s">
        <v>28</v>
      </c>
      <c r="G63" t="s">
        <v>58</v>
      </c>
      <c r="H63" s="2">
        <v>3</v>
      </c>
      <c r="I63" s="1">
        <v>900</v>
      </c>
      <c r="J63" s="1">
        <v>2700</v>
      </c>
      <c r="K63" s="1">
        <v>2214</v>
      </c>
      <c r="L63" s="1">
        <v>486</v>
      </c>
    </row>
    <row r="64" spans="1:12" x14ac:dyDescent="0.3">
      <c r="A64" t="s">
        <v>109</v>
      </c>
      <c r="B64" s="3">
        <v>46068</v>
      </c>
      <c r="C64" t="s">
        <v>49</v>
      </c>
      <c r="D64" t="s">
        <v>20</v>
      </c>
      <c r="E64" t="s">
        <v>55</v>
      </c>
      <c r="F64" t="s">
        <v>28</v>
      </c>
      <c r="G64" t="s">
        <v>60</v>
      </c>
      <c r="H64" s="2">
        <v>8</v>
      </c>
      <c r="I64" s="1">
        <v>2500</v>
      </c>
      <c r="J64" s="1">
        <v>20000</v>
      </c>
      <c r="K64" s="1">
        <v>16400</v>
      </c>
      <c r="L64" s="1">
        <v>3600</v>
      </c>
    </row>
    <row r="65" spans="1:12" x14ac:dyDescent="0.3">
      <c r="A65" t="s">
        <v>110</v>
      </c>
      <c r="B65" s="3">
        <v>46068</v>
      </c>
      <c r="C65" t="s">
        <v>555</v>
      </c>
      <c r="D65" t="s">
        <v>20</v>
      </c>
      <c r="E65" t="s">
        <v>23</v>
      </c>
      <c r="F65" t="s">
        <v>548</v>
      </c>
      <c r="G65" t="s">
        <v>574</v>
      </c>
      <c r="H65" s="2">
        <v>8</v>
      </c>
      <c r="I65" s="1">
        <v>35000</v>
      </c>
      <c r="J65" s="1">
        <v>280000</v>
      </c>
      <c r="K65" s="1">
        <v>218400</v>
      </c>
      <c r="L65" s="1">
        <v>61600</v>
      </c>
    </row>
    <row r="66" spans="1:12" x14ac:dyDescent="0.3">
      <c r="A66" t="s">
        <v>111</v>
      </c>
      <c r="B66" s="3">
        <v>46069</v>
      </c>
      <c r="C66" t="s">
        <v>17</v>
      </c>
      <c r="D66" t="s">
        <v>565</v>
      </c>
      <c r="E66" t="s">
        <v>566</v>
      </c>
      <c r="F66" t="s">
        <v>553</v>
      </c>
      <c r="G66" t="s">
        <v>577</v>
      </c>
      <c r="H66" s="2">
        <v>6</v>
      </c>
      <c r="I66" s="1">
        <v>250</v>
      </c>
      <c r="J66" s="1">
        <v>1500</v>
      </c>
      <c r="K66" s="1">
        <v>975</v>
      </c>
      <c r="L66" s="1">
        <v>525</v>
      </c>
    </row>
    <row r="67" spans="1:12" x14ac:dyDescent="0.3">
      <c r="A67" t="s">
        <v>112</v>
      </c>
      <c r="B67" s="3">
        <v>46070</v>
      </c>
      <c r="C67" t="s">
        <v>52</v>
      </c>
      <c r="D67" t="s">
        <v>565</v>
      </c>
      <c r="E67" t="s">
        <v>582</v>
      </c>
      <c r="F67" t="s">
        <v>560</v>
      </c>
      <c r="G67" t="s">
        <v>584</v>
      </c>
      <c r="H67" s="2">
        <v>3</v>
      </c>
      <c r="I67" s="1">
        <v>250</v>
      </c>
      <c r="J67" s="1">
        <v>750</v>
      </c>
      <c r="K67" s="1">
        <v>412.50000000000006</v>
      </c>
      <c r="L67" s="1">
        <v>337.49999999999994</v>
      </c>
    </row>
    <row r="68" spans="1:12" x14ac:dyDescent="0.3">
      <c r="A68" t="s">
        <v>113</v>
      </c>
      <c r="B68" s="3">
        <v>46071</v>
      </c>
      <c r="C68" t="s">
        <v>45</v>
      </c>
      <c r="D68" t="s">
        <v>22</v>
      </c>
      <c r="E68" t="s">
        <v>569</v>
      </c>
      <c r="F68" t="s">
        <v>553</v>
      </c>
      <c r="G68" t="s">
        <v>570</v>
      </c>
      <c r="H68" s="2">
        <v>5</v>
      </c>
      <c r="I68" s="1">
        <v>15000</v>
      </c>
      <c r="J68" s="1">
        <v>75000</v>
      </c>
      <c r="K68" s="1">
        <v>48750</v>
      </c>
      <c r="L68" s="1">
        <v>26250</v>
      </c>
    </row>
    <row r="69" spans="1:12" x14ac:dyDescent="0.3">
      <c r="A69" t="s">
        <v>114</v>
      </c>
      <c r="B69" s="3">
        <v>46071</v>
      </c>
      <c r="C69" t="s">
        <v>564</v>
      </c>
      <c r="D69" t="s">
        <v>20</v>
      </c>
      <c r="E69" t="s">
        <v>53</v>
      </c>
      <c r="F69" t="s">
        <v>560</v>
      </c>
      <c r="G69" t="s">
        <v>561</v>
      </c>
      <c r="H69" s="2">
        <v>7</v>
      </c>
      <c r="I69" s="1">
        <v>400</v>
      </c>
      <c r="J69" s="1">
        <v>2800</v>
      </c>
      <c r="K69" s="1">
        <v>1540.0000000000002</v>
      </c>
      <c r="L69" s="1">
        <v>1259.9999999999998</v>
      </c>
    </row>
    <row r="70" spans="1:12" x14ac:dyDescent="0.3">
      <c r="A70" t="s">
        <v>115</v>
      </c>
      <c r="B70" s="3">
        <v>46072</v>
      </c>
      <c r="C70" t="s">
        <v>46</v>
      </c>
      <c r="D70" t="s">
        <v>565</v>
      </c>
      <c r="E70" t="s">
        <v>571</v>
      </c>
      <c r="F70" t="s">
        <v>28</v>
      </c>
      <c r="G70" t="s">
        <v>56</v>
      </c>
      <c r="H70" s="2">
        <v>8</v>
      </c>
      <c r="I70" s="1">
        <v>55000</v>
      </c>
      <c r="J70" s="1">
        <v>440000</v>
      </c>
      <c r="K70" s="1">
        <v>360800</v>
      </c>
      <c r="L70" s="1">
        <v>79200</v>
      </c>
    </row>
    <row r="71" spans="1:12" x14ac:dyDescent="0.3">
      <c r="A71" t="s">
        <v>116</v>
      </c>
      <c r="B71" s="3">
        <v>46073</v>
      </c>
      <c r="C71" t="s">
        <v>573</v>
      </c>
      <c r="D71" t="s">
        <v>565</v>
      </c>
      <c r="E71" t="s">
        <v>568</v>
      </c>
      <c r="F71" t="s">
        <v>560</v>
      </c>
      <c r="G71" t="s">
        <v>581</v>
      </c>
      <c r="H71" s="2">
        <v>8</v>
      </c>
      <c r="I71" s="1">
        <v>150</v>
      </c>
      <c r="J71" s="1">
        <v>1200</v>
      </c>
      <c r="K71" s="1">
        <v>660</v>
      </c>
      <c r="L71" s="1">
        <v>540</v>
      </c>
    </row>
    <row r="72" spans="1:12" x14ac:dyDescent="0.3">
      <c r="A72" t="s">
        <v>117</v>
      </c>
      <c r="B72" s="3">
        <v>46074</v>
      </c>
      <c r="C72" t="s">
        <v>573</v>
      </c>
      <c r="D72" t="s">
        <v>21</v>
      </c>
      <c r="E72" t="s">
        <v>562</v>
      </c>
      <c r="F72" t="s">
        <v>553</v>
      </c>
      <c r="G72" t="s">
        <v>570</v>
      </c>
      <c r="H72" s="2">
        <v>3</v>
      </c>
      <c r="I72" s="1">
        <v>15000</v>
      </c>
      <c r="J72" s="1">
        <v>45000</v>
      </c>
      <c r="K72" s="1">
        <v>29250</v>
      </c>
      <c r="L72" s="1">
        <v>15750</v>
      </c>
    </row>
    <row r="73" spans="1:12" x14ac:dyDescent="0.3">
      <c r="A73" t="s">
        <v>118</v>
      </c>
      <c r="B73" s="3">
        <v>46074</v>
      </c>
      <c r="C73" t="s">
        <v>47</v>
      </c>
      <c r="D73" t="s">
        <v>20</v>
      </c>
      <c r="E73" t="s">
        <v>550</v>
      </c>
      <c r="F73" t="s">
        <v>551</v>
      </c>
      <c r="G73" t="s">
        <v>552</v>
      </c>
      <c r="H73" s="2">
        <v>2</v>
      </c>
      <c r="I73" s="1">
        <v>2500</v>
      </c>
      <c r="J73" s="1">
        <v>5000</v>
      </c>
      <c r="K73" s="1">
        <v>3000</v>
      </c>
      <c r="L73" s="1">
        <v>2000</v>
      </c>
    </row>
    <row r="74" spans="1:12" x14ac:dyDescent="0.3">
      <c r="A74" t="s">
        <v>119</v>
      </c>
      <c r="B74" s="3">
        <v>46075</v>
      </c>
      <c r="C74" t="s">
        <v>573</v>
      </c>
      <c r="D74" t="s">
        <v>21</v>
      </c>
      <c r="E74" t="s">
        <v>559</v>
      </c>
      <c r="F74" t="s">
        <v>548</v>
      </c>
      <c r="G74" t="s">
        <v>549</v>
      </c>
      <c r="H74" s="2">
        <v>7</v>
      </c>
      <c r="I74" s="1">
        <v>40000</v>
      </c>
      <c r="J74" s="1">
        <v>280000</v>
      </c>
      <c r="K74" s="1">
        <v>218400</v>
      </c>
      <c r="L74" s="1">
        <v>61600</v>
      </c>
    </row>
    <row r="75" spans="1:12" x14ac:dyDescent="0.3">
      <c r="A75" t="s">
        <v>120</v>
      </c>
      <c r="B75" s="3">
        <v>46076</v>
      </c>
      <c r="C75" t="s">
        <v>45</v>
      </c>
      <c r="D75" t="s">
        <v>565</v>
      </c>
      <c r="E75" t="s">
        <v>566</v>
      </c>
      <c r="F75" t="s">
        <v>28</v>
      </c>
      <c r="G75" t="s">
        <v>32</v>
      </c>
      <c r="H75" s="2">
        <v>3</v>
      </c>
      <c r="I75" s="1">
        <v>1800</v>
      </c>
      <c r="J75" s="1">
        <v>5400</v>
      </c>
      <c r="K75" s="1">
        <v>4428</v>
      </c>
      <c r="L75" s="1">
        <v>972</v>
      </c>
    </row>
    <row r="76" spans="1:12" x14ac:dyDescent="0.3">
      <c r="A76" t="s">
        <v>121</v>
      </c>
      <c r="B76" s="3">
        <v>46076</v>
      </c>
      <c r="C76" t="s">
        <v>48</v>
      </c>
      <c r="D76" t="s">
        <v>20</v>
      </c>
      <c r="E76" t="s">
        <v>53</v>
      </c>
      <c r="F76" t="s">
        <v>551</v>
      </c>
      <c r="G76" t="s">
        <v>558</v>
      </c>
      <c r="H76" s="2">
        <v>5</v>
      </c>
      <c r="I76" s="1">
        <v>1500</v>
      </c>
      <c r="J76" s="1">
        <v>7500</v>
      </c>
      <c r="K76" s="1">
        <v>4500</v>
      </c>
      <c r="L76" s="1">
        <v>3000</v>
      </c>
    </row>
    <row r="77" spans="1:12" x14ac:dyDescent="0.3">
      <c r="A77" t="s">
        <v>122</v>
      </c>
      <c r="B77" s="3">
        <v>46077</v>
      </c>
      <c r="C77" t="s">
        <v>50</v>
      </c>
      <c r="D77" t="s">
        <v>21</v>
      </c>
      <c r="E77" t="s">
        <v>25</v>
      </c>
      <c r="F77" t="s">
        <v>548</v>
      </c>
      <c r="G77" t="s">
        <v>574</v>
      </c>
      <c r="H77" s="2">
        <v>4</v>
      </c>
      <c r="I77" s="1">
        <v>35000</v>
      </c>
      <c r="J77" s="1">
        <v>140000</v>
      </c>
      <c r="K77" s="1">
        <v>109200</v>
      </c>
      <c r="L77" s="1">
        <v>30800</v>
      </c>
    </row>
    <row r="78" spans="1:12" x14ac:dyDescent="0.3">
      <c r="A78" t="s">
        <v>123</v>
      </c>
      <c r="B78" s="3">
        <v>46078</v>
      </c>
      <c r="C78" t="s">
        <v>49</v>
      </c>
      <c r="D78" t="s">
        <v>22</v>
      </c>
      <c r="E78" t="s">
        <v>569</v>
      </c>
      <c r="F78" t="s">
        <v>551</v>
      </c>
      <c r="G78" t="s">
        <v>580</v>
      </c>
      <c r="H78" s="2">
        <v>8</v>
      </c>
      <c r="I78" s="1">
        <v>1800</v>
      </c>
      <c r="J78" s="1">
        <v>14400</v>
      </c>
      <c r="K78" s="1">
        <v>8640</v>
      </c>
      <c r="L78" s="1">
        <v>5760</v>
      </c>
    </row>
    <row r="79" spans="1:12" x14ac:dyDescent="0.3">
      <c r="A79" t="s">
        <v>124</v>
      </c>
      <c r="B79" s="3">
        <v>46079</v>
      </c>
      <c r="C79" t="s">
        <v>573</v>
      </c>
      <c r="D79" t="s">
        <v>22</v>
      </c>
      <c r="E79" t="s">
        <v>54</v>
      </c>
      <c r="F79" t="s">
        <v>548</v>
      </c>
      <c r="G79" t="s">
        <v>572</v>
      </c>
      <c r="H79" s="2">
        <v>7</v>
      </c>
      <c r="I79" s="1">
        <v>8000</v>
      </c>
      <c r="J79" s="1">
        <v>56000</v>
      </c>
      <c r="K79" s="1">
        <v>43680</v>
      </c>
      <c r="L79" s="1">
        <v>12320</v>
      </c>
    </row>
    <row r="80" spans="1:12" x14ac:dyDescent="0.3">
      <c r="A80" t="s">
        <v>125</v>
      </c>
      <c r="B80" s="3">
        <v>46079</v>
      </c>
      <c r="C80" t="s">
        <v>49</v>
      </c>
      <c r="D80" t="s">
        <v>20</v>
      </c>
      <c r="E80" t="s">
        <v>550</v>
      </c>
      <c r="F80" t="s">
        <v>560</v>
      </c>
      <c r="G80" t="s">
        <v>575</v>
      </c>
      <c r="H80" s="2">
        <v>1</v>
      </c>
      <c r="I80" s="1">
        <v>200</v>
      </c>
      <c r="J80" s="1">
        <v>200</v>
      </c>
      <c r="K80" s="1">
        <v>110.00000000000001</v>
      </c>
      <c r="L80" s="1">
        <v>89.999999999999986</v>
      </c>
    </row>
    <row r="81" spans="1:12" x14ac:dyDescent="0.3">
      <c r="A81" t="s">
        <v>126</v>
      </c>
      <c r="B81" s="3">
        <v>46080</v>
      </c>
      <c r="C81" t="s">
        <v>587</v>
      </c>
      <c r="D81" t="s">
        <v>21</v>
      </c>
      <c r="E81" t="s">
        <v>25</v>
      </c>
      <c r="F81" t="s">
        <v>548</v>
      </c>
      <c r="G81" t="s">
        <v>549</v>
      </c>
      <c r="H81" s="2">
        <v>5</v>
      </c>
      <c r="I81" s="1">
        <v>40000</v>
      </c>
      <c r="J81" s="1">
        <v>200000</v>
      </c>
      <c r="K81" s="1">
        <v>156000</v>
      </c>
      <c r="L81" s="1">
        <v>44000</v>
      </c>
    </row>
    <row r="82" spans="1:12" x14ac:dyDescent="0.3">
      <c r="A82" t="s">
        <v>127</v>
      </c>
      <c r="B82" s="3">
        <v>46081</v>
      </c>
      <c r="C82" t="s">
        <v>18</v>
      </c>
      <c r="D82" t="s">
        <v>565</v>
      </c>
      <c r="E82" t="s">
        <v>568</v>
      </c>
      <c r="F82" t="s">
        <v>27</v>
      </c>
      <c r="G82" t="s">
        <v>29</v>
      </c>
      <c r="H82" s="2">
        <v>4</v>
      </c>
      <c r="I82" s="1">
        <v>4500</v>
      </c>
      <c r="J82" s="1">
        <v>18000</v>
      </c>
      <c r="K82" s="1">
        <v>12960</v>
      </c>
      <c r="L82" s="1">
        <v>5040</v>
      </c>
    </row>
    <row r="83" spans="1:12" x14ac:dyDescent="0.3">
      <c r="A83" t="s">
        <v>128</v>
      </c>
      <c r="B83" s="3">
        <v>46082</v>
      </c>
      <c r="C83" t="s">
        <v>18</v>
      </c>
      <c r="D83" t="s">
        <v>22</v>
      </c>
      <c r="E83" t="s">
        <v>26</v>
      </c>
      <c r="F83" t="s">
        <v>28</v>
      </c>
      <c r="G83" t="s">
        <v>58</v>
      </c>
      <c r="H83" s="2">
        <v>5</v>
      </c>
      <c r="I83" s="1">
        <v>900</v>
      </c>
      <c r="J83" s="1">
        <v>4500</v>
      </c>
      <c r="K83" s="1">
        <v>3690</v>
      </c>
      <c r="L83" s="1">
        <v>810</v>
      </c>
    </row>
    <row r="84" spans="1:12" x14ac:dyDescent="0.3">
      <c r="A84" t="s">
        <v>129</v>
      </c>
      <c r="B84" s="3">
        <v>46082</v>
      </c>
      <c r="C84" t="s">
        <v>555</v>
      </c>
      <c r="D84" t="s">
        <v>565</v>
      </c>
      <c r="E84" t="s">
        <v>568</v>
      </c>
      <c r="F84" t="s">
        <v>560</v>
      </c>
      <c r="G84" t="s">
        <v>581</v>
      </c>
      <c r="H84" s="2">
        <v>6</v>
      </c>
      <c r="I84" s="1">
        <v>150</v>
      </c>
      <c r="J84" s="1">
        <v>900</v>
      </c>
      <c r="K84" s="1">
        <v>495.00000000000006</v>
      </c>
      <c r="L84" s="1">
        <v>404.99999999999994</v>
      </c>
    </row>
    <row r="85" spans="1:12" x14ac:dyDescent="0.3">
      <c r="A85" t="s">
        <v>130</v>
      </c>
      <c r="B85" s="3">
        <v>46083</v>
      </c>
      <c r="C85" t="s">
        <v>583</v>
      </c>
      <c r="D85" t="s">
        <v>22</v>
      </c>
      <c r="E85" t="s">
        <v>26</v>
      </c>
      <c r="F85" t="s">
        <v>551</v>
      </c>
      <c r="G85" t="s">
        <v>558</v>
      </c>
      <c r="H85" s="2">
        <v>7</v>
      </c>
      <c r="I85" s="1">
        <v>1500</v>
      </c>
      <c r="J85" s="1">
        <v>10500</v>
      </c>
      <c r="K85" s="1">
        <v>6300</v>
      </c>
      <c r="L85" s="1">
        <v>4200</v>
      </c>
    </row>
    <row r="86" spans="1:12" x14ac:dyDescent="0.3">
      <c r="A86" t="s">
        <v>131</v>
      </c>
      <c r="B86" s="3">
        <v>46084</v>
      </c>
      <c r="C86" t="s">
        <v>19</v>
      </c>
      <c r="D86" t="s">
        <v>20</v>
      </c>
      <c r="E86" t="s">
        <v>53</v>
      </c>
      <c r="F86" t="s">
        <v>27</v>
      </c>
      <c r="G86" t="s">
        <v>61</v>
      </c>
      <c r="H86" s="2">
        <v>3</v>
      </c>
      <c r="I86" s="1">
        <v>28000</v>
      </c>
      <c r="J86" s="1">
        <v>84000</v>
      </c>
      <c r="K86" s="1">
        <v>60480</v>
      </c>
      <c r="L86" s="1">
        <v>23520</v>
      </c>
    </row>
    <row r="87" spans="1:12" x14ac:dyDescent="0.3">
      <c r="A87" t="s">
        <v>132</v>
      </c>
      <c r="B87" s="3">
        <v>46085</v>
      </c>
      <c r="C87" t="s">
        <v>587</v>
      </c>
      <c r="D87" t="s">
        <v>20</v>
      </c>
      <c r="E87" t="s">
        <v>23</v>
      </c>
      <c r="F87" t="s">
        <v>28</v>
      </c>
      <c r="G87" t="s">
        <v>60</v>
      </c>
      <c r="H87" s="2">
        <v>3</v>
      </c>
      <c r="I87" s="1">
        <v>2500</v>
      </c>
      <c r="J87" s="1">
        <v>7500</v>
      </c>
      <c r="K87" s="1">
        <v>6150</v>
      </c>
      <c r="L87" s="1">
        <v>1350</v>
      </c>
    </row>
    <row r="88" spans="1:12" x14ac:dyDescent="0.3">
      <c r="A88" t="s">
        <v>133</v>
      </c>
      <c r="B88" s="3">
        <v>46085</v>
      </c>
      <c r="C88" t="s">
        <v>46</v>
      </c>
      <c r="D88" t="s">
        <v>20</v>
      </c>
      <c r="E88" t="s">
        <v>23</v>
      </c>
      <c r="F88" t="s">
        <v>560</v>
      </c>
      <c r="G88" t="s">
        <v>561</v>
      </c>
      <c r="H88" s="2">
        <v>5</v>
      </c>
      <c r="I88" s="1">
        <v>400</v>
      </c>
      <c r="J88" s="1">
        <v>2000</v>
      </c>
      <c r="K88" s="1">
        <v>1100</v>
      </c>
      <c r="L88" s="1">
        <v>900</v>
      </c>
    </row>
    <row r="89" spans="1:12" x14ac:dyDescent="0.3">
      <c r="A89" t="s">
        <v>134</v>
      </c>
      <c r="B89" s="3">
        <v>46086</v>
      </c>
      <c r="C89" t="s">
        <v>547</v>
      </c>
      <c r="D89" t="s">
        <v>21</v>
      </c>
      <c r="E89" t="s">
        <v>562</v>
      </c>
      <c r="F89" t="s">
        <v>560</v>
      </c>
      <c r="G89" t="s">
        <v>561</v>
      </c>
      <c r="H89" s="2">
        <v>8</v>
      </c>
      <c r="I89" s="1">
        <v>400</v>
      </c>
      <c r="J89" s="1">
        <v>3200</v>
      </c>
      <c r="K89" s="1">
        <v>1760.0000000000002</v>
      </c>
      <c r="L89" s="1">
        <v>1439.9999999999998</v>
      </c>
    </row>
    <row r="90" spans="1:12" x14ac:dyDescent="0.3">
      <c r="A90" t="s">
        <v>135</v>
      </c>
      <c r="B90" s="3">
        <v>46087</v>
      </c>
      <c r="C90" t="s">
        <v>44</v>
      </c>
      <c r="D90" t="s">
        <v>565</v>
      </c>
      <c r="E90" t="s">
        <v>582</v>
      </c>
      <c r="F90" t="s">
        <v>28</v>
      </c>
      <c r="G90" t="s">
        <v>56</v>
      </c>
      <c r="H90" s="2">
        <v>1</v>
      </c>
      <c r="I90" s="1">
        <v>55000</v>
      </c>
      <c r="J90" s="1">
        <v>55000</v>
      </c>
      <c r="K90" s="1">
        <v>45100</v>
      </c>
      <c r="L90" s="1">
        <v>9900</v>
      </c>
    </row>
    <row r="91" spans="1:12" x14ac:dyDescent="0.3">
      <c r="A91" t="s">
        <v>136</v>
      </c>
      <c r="B91" s="3">
        <v>46087</v>
      </c>
      <c r="C91" t="s">
        <v>17</v>
      </c>
      <c r="D91" t="s">
        <v>20</v>
      </c>
      <c r="E91" t="s">
        <v>53</v>
      </c>
      <c r="F91" t="s">
        <v>551</v>
      </c>
      <c r="G91" t="s">
        <v>579</v>
      </c>
      <c r="H91" s="2">
        <v>7</v>
      </c>
      <c r="I91" s="1">
        <v>700</v>
      </c>
      <c r="J91" s="1">
        <v>4900</v>
      </c>
      <c r="K91" s="1">
        <v>2940</v>
      </c>
      <c r="L91" s="1">
        <v>1960</v>
      </c>
    </row>
    <row r="92" spans="1:12" x14ac:dyDescent="0.3">
      <c r="A92" t="s">
        <v>137</v>
      </c>
      <c r="B92" s="3">
        <v>46088</v>
      </c>
      <c r="C92" t="s">
        <v>573</v>
      </c>
      <c r="D92" t="s">
        <v>565</v>
      </c>
      <c r="E92" t="s">
        <v>582</v>
      </c>
      <c r="F92" t="s">
        <v>551</v>
      </c>
      <c r="G92" t="s">
        <v>585</v>
      </c>
      <c r="H92" s="2">
        <v>5</v>
      </c>
      <c r="I92" s="1">
        <v>500</v>
      </c>
      <c r="J92" s="1">
        <v>2500</v>
      </c>
      <c r="K92" s="1">
        <v>1500</v>
      </c>
      <c r="L92" s="1">
        <v>1000</v>
      </c>
    </row>
    <row r="93" spans="1:12" x14ac:dyDescent="0.3">
      <c r="A93" t="s">
        <v>138</v>
      </c>
      <c r="B93" s="3">
        <v>46089</v>
      </c>
      <c r="C93" t="s">
        <v>49</v>
      </c>
      <c r="D93" t="s">
        <v>20</v>
      </c>
      <c r="E93" t="s">
        <v>53</v>
      </c>
      <c r="F93" t="s">
        <v>560</v>
      </c>
      <c r="G93" t="s">
        <v>561</v>
      </c>
      <c r="H93" s="2">
        <v>8</v>
      </c>
      <c r="I93" s="1">
        <v>400</v>
      </c>
      <c r="J93" s="1">
        <v>3200</v>
      </c>
      <c r="K93" s="1">
        <v>1760.0000000000002</v>
      </c>
      <c r="L93" s="1">
        <v>1439.9999999999998</v>
      </c>
    </row>
    <row r="94" spans="1:12" x14ac:dyDescent="0.3">
      <c r="A94" t="s">
        <v>139</v>
      </c>
      <c r="B94" s="3">
        <v>46090</v>
      </c>
      <c r="C94" t="s">
        <v>583</v>
      </c>
      <c r="D94" t="s">
        <v>20</v>
      </c>
      <c r="E94" t="s">
        <v>55</v>
      </c>
      <c r="F94" t="s">
        <v>551</v>
      </c>
      <c r="G94" t="s">
        <v>585</v>
      </c>
      <c r="H94" s="2">
        <v>7</v>
      </c>
      <c r="I94" s="1">
        <v>500</v>
      </c>
      <c r="J94" s="1">
        <v>3500</v>
      </c>
      <c r="K94" s="1">
        <v>2100</v>
      </c>
      <c r="L94" s="1">
        <v>1400</v>
      </c>
    </row>
    <row r="95" spans="1:12" x14ac:dyDescent="0.3">
      <c r="A95" t="s">
        <v>140</v>
      </c>
      <c r="B95" s="3">
        <v>46090</v>
      </c>
      <c r="C95" t="s">
        <v>47</v>
      </c>
      <c r="D95" t="s">
        <v>20</v>
      </c>
      <c r="E95" t="s">
        <v>23</v>
      </c>
      <c r="F95" t="s">
        <v>28</v>
      </c>
      <c r="G95" t="s">
        <v>58</v>
      </c>
      <c r="H95" s="2">
        <v>8</v>
      </c>
      <c r="I95" s="1">
        <v>900</v>
      </c>
      <c r="J95" s="1">
        <v>7200</v>
      </c>
      <c r="K95" s="1">
        <v>5904</v>
      </c>
      <c r="L95" s="1">
        <v>1296</v>
      </c>
    </row>
    <row r="96" spans="1:12" x14ac:dyDescent="0.3">
      <c r="A96" t="s">
        <v>141</v>
      </c>
      <c r="B96" s="3">
        <v>46091</v>
      </c>
      <c r="C96" t="s">
        <v>555</v>
      </c>
      <c r="D96" t="s">
        <v>565</v>
      </c>
      <c r="E96" t="s">
        <v>568</v>
      </c>
      <c r="F96" t="s">
        <v>28</v>
      </c>
      <c r="G96" t="s">
        <v>30</v>
      </c>
      <c r="H96" s="2">
        <v>2</v>
      </c>
      <c r="I96" s="1">
        <v>12000</v>
      </c>
      <c r="J96" s="1">
        <v>24000</v>
      </c>
      <c r="K96" s="1">
        <v>19680</v>
      </c>
      <c r="L96" s="1">
        <v>4320</v>
      </c>
    </row>
    <row r="97" spans="1:12" x14ac:dyDescent="0.3">
      <c r="A97" t="s">
        <v>142</v>
      </c>
      <c r="B97" s="3">
        <v>46092</v>
      </c>
      <c r="C97" t="s">
        <v>17</v>
      </c>
      <c r="D97" t="s">
        <v>22</v>
      </c>
      <c r="E97" t="s">
        <v>54</v>
      </c>
      <c r="F97" t="s">
        <v>548</v>
      </c>
      <c r="G97" t="s">
        <v>578</v>
      </c>
      <c r="H97" s="2">
        <v>3</v>
      </c>
      <c r="I97" s="1">
        <v>12000</v>
      </c>
      <c r="J97" s="1">
        <v>36000</v>
      </c>
      <c r="K97" s="1">
        <v>28080</v>
      </c>
      <c r="L97" s="1">
        <v>7920</v>
      </c>
    </row>
    <row r="98" spans="1:12" x14ac:dyDescent="0.3">
      <c r="A98" t="s">
        <v>143</v>
      </c>
      <c r="B98" s="3">
        <v>46093</v>
      </c>
      <c r="C98" t="s">
        <v>46</v>
      </c>
      <c r="D98" t="s">
        <v>22</v>
      </c>
      <c r="E98" t="s">
        <v>54</v>
      </c>
      <c r="F98" t="s">
        <v>548</v>
      </c>
      <c r="G98" t="s">
        <v>572</v>
      </c>
      <c r="H98" s="2">
        <v>1</v>
      </c>
      <c r="I98" s="1">
        <v>8000</v>
      </c>
      <c r="J98" s="1">
        <v>8000</v>
      </c>
      <c r="K98" s="1">
        <v>6240</v>
      </c>
      <c r="L98" s="1">
        <v>1760</v>
      </c>
    </row>
    <row r="99" spans="1:12" x14ac:dyDescent="0.3">
      <c r="A99" t="s">
        <v>144</v>
      </c>
      <c r="B99" s="3">
        <v>46093</v>
      </c>
      <c r="C99" t="s">
        <v>44</v>
      </c>
      <c r="D99" t="s">
        <v>565</v>
      </c>
      <c r="E99" t="s">
        <v>566</v>
      </c>
      <c r="F99" t="s">
        <v>28</v>
      </c>
      <c r="G99" t="s">
        <v>60</v>
      </c>
      <c r="H99" s="2">
        <v>1</v>
      </c>
      <c r="I99" s="1">
        <v>2500</v>
      </c>
      <c r="J99" s="1">
        <v>2500</v>
      </c>
      <c r="K99" s="1">
        <v>2050</v>
      </c>
      <c r="L99" s="1">
        <v>450</v>
      </c>
    </row>
    <row r="100" spans="1:12" x14ac:dyDescent="0.3">
      <c r="A100" t="s">
        <v>145</v>
      </c>
      <c r="B100" s="3">
        <v>46094</v>
      </c>
      <c r="C100" t="s">
        <v>43</v>
      </c>
      <c r="D100" t="s">
        <v>565</v>
      </c>
      <c r="E100" t="s">
        <v>568</v>
      </c>
      <c r="F100" t="s">
        <v>551</v>
      </c>
      <c r="G100" t="s">
        <v>585</v>
      </c>
      <c r="H100" s="2">
        <v>6</v>
      </c>
      <c r="I100" s="1">
        <v>500</v>
      </c>
      <c r="J100" s="1">
        <v>3000</v>
      </c>
      <c r="K100" s="1">
        <v>1800</v>
      </c>
      <c r="L100" s="1">
        <v>1200</v>
      </c>
    </row>
    <row r="101" spans="1:12" x14ac:dyDescent="0.3">
      <c r="A101" t="s">
        <v>146</v>
      </c>
      <c r="B101" s="3">
        <v>46095</v>
      </c>
      <c r="C101" t="s">
        <v>583</v>
      </c>
      <c r="D101" t="s">
        <v>20</v>
      </c>
      <c r="E101" t="s">
        <v>23</v>
      </c>
      <c r="F101" t="s">
        <v>28</v>
      </c>
      <c r="G101" t="s">
        <v>30</v>
      </c>
      <c r="H101" s="2">
        <v>4</v>
      </c>
      <c r="I101" s="1">
        <v>12000</v>
      </c>
      <c r="J101" s="1">
        <v>48000</v>
      </c>
      <c r="K101" s="1">
        <v>39360</v>
      </c>
      <c r="L101" s="1">
        <v>8640</v>
      </c>
    </row>
    <row r="102" spans="1:12" x14ac:dyDescent="0.3">
      <c r="A102" t="s">
        <v>147</v>
      </c>
      <c r="B102" s="3">
        <v>46095</v>
      </c>
      <c r="C102" t="s">
        <v>45</v>
      </c>
      <c r="D102" t="s">
        <v>21</v>
      </c>
      <c r="E102" t="s">
        <v>559</v>
      </c>
      <c r="F102" t="s">
        <v>551</v>
      </c>
      <c r="G102" t="s">
        <v>579</v>
      </c>
      <c r="H102" s="2">
        <v>4</v>
      </c>
      <c r="I102" s="1">
        <v>700</v>
      </c>
      <c r="J102" s="1">
        <v>2800</v>
      </c>
      <c r="K102" s="1">
        <v>1680</v>
      </c>
      <c r="L102" s="1">
        <v>1120</v>
      </c>
    </row>
    <row r="103" spans="1:12" x14ac:dyDescent="0.3">
      <c r="A103" t="s">
        <v>148</v>
      </c>
      <c r="B103" s="3">
        <v>46096</v>
      </c>
      <c r="C103" t="s">
        <v>587</v>
      </c>
      <c r="D103" t="s">
        <v>21</v>
      </c>
      <c r="E103" t="s">
        <v>562</v>
      </c>
      <c r="F103" t="s">
        <v>548</v>
      </c>
      <c r="G103" t="s">
        <v>572</v>
      </c>
      <c r="H103" s="2">
        <v>4</v>
      </c>
      <c r="I103" s="1">
        <v>8000</v>
      </c>
      <c r="J103" s="1">
        <v>32000</v>
      </c>
      <c r="K103" s="1">
        <v>24960</v>
      </c>
      <c r="L103" s="1">
        <v>7040</v>
      </c>
    </row>
    <row r="104" spans="1:12" x14ac:dyDescent="0.3">
      <c r="A104" t="s">
        <v>149</v>
      </c>
      <c r="B104" s="3">
        <v>46097</v>
      </c>
      <c r="C104" t="s">
        <v>583</v>
      </c>
      <c r="D104" t="s">
        <v>565</v>
      </c>
      <c r="E104" t="s">
        <v>566</v>
      </c>
      <c r="F104" t="s">
        <v>560</v>
      </c>
      <c r="G104" t="s">
        <v>584</v>
      </c>
      <c r="H104" s="2">
        <v>6</v>
      </c>
      <c r="I104" s="1">
        <v>250</v>
      </c>
      <c r="J104" s="1">
        <v>1500</v>
      </c>
      <c r="K104" s="1">
        <v>825.00000000000011</v>
      </c>
      <c r="L104" s="1">
        <v>674.99999999999989</v>
      </c>
    </row>
    <row r="105" spans="1:12" x14ac:dyDescent="0.3">
      <c r="A105" t="s">
        <v>150</v>
      </c>
      <c r="B105" s="3">
        <v>46098</v>
      </c>
      <c r="C105" t="s">
        <v>45</v>
      </c>
      <c r="D105" t="s">
        <v>20</v>
      </c>
      <c r="E105" t="s">
        <v>550</v>
      </c>
      <c r="F105" t="s">
        <v>28</v>
      </c>
      <c r="G105" t="s">
        <v>32</v>
      </c>
      <c r="H105" s="2">
        <v>1</v>
      </c>
      <c r="I105" s="1">
        <v>1800</v>
      </c>
      <c r="J105" s="1">
        <v>1800</v>
      </c>
      <c r="K105" s="1">
        <v>1476</v>
      </c>
      <c r="L105" s="1">
        <v>324</v>
      </c>
    </row>
    <row r="106" spans="1:12" x14ac:dyDescent="0.3">
      <c r="A106" t="s">
        <v>151</v>
      </c>
      <c r="B106" s="3">
        <v>46098</v>
      </c>
      <c r="C106" t="s">
        <v>43</v>
      </c>
      <c r="D106" t="s">
        <v>21</v>
      </c>
      <c r="E106" t="s">
        <v>24</v>
      </c>
      <c r="F106" t="s">
        <v>551</v>
      </c>
      <c r="G106" t="s">
        <v>552</v>
      </c>
      <c r="H106" s="2">
        <v>2</v>
      </c>
      <c r="I106" s="1">
        <v>2500</v>
      </c>
      <c r="J106" s="1">
        <v>5000</v>
      </c>
      <c r="K106" s="1">
        <v>3000</v>
      </c>
      <c r="L106" s="1">
        <v>2000</v>
      </c>
    </row>
    <row r="107" spans="1:12" x14ac:dyDescent="0.3">
      <c r="A107" t="s">
        <v>152</v>
      </c>
      <c r="B107" s="3">
        <v>46099</v>
      </c>
      <c r="C107" t="s">
        <v>17</v>
      </c>
      <c r="D107" t="s">
        <v>565</v>
      </c>
      <c r="E107" t="s">
        <v>568</v>
      </c>
      <c r="F107" t="s">
        <v>560</v>
      </c>
      <c r="G107" t="s">
        <v>567</v>
      </c>
      <c r="H107" s="2">
        <v>3</v>
      </c>
      <c r="I107" s="1">
        <v>300</v>
      </c>
      <c r="J107" s="1">
        <v>900</v>
      </c>
      <c r="K107" s="1">
        <v>495.00000000000006</v>
      </c>
      <c r="L107" s="1">
        <v>404.99999999999994</v>
      </c>
    </row>
    <row r="108" spans="1:12" x14ac:dyDescent="0.3">
      <c r="A108" t="s">
        <v>153</v>
      </c>
      <c r="B108" s="3">
        <v>46100</v>
      </c>
      <c r="C108" t="s">
        <v>45</v>
      </c>
      <c r="D108" t="s">
        <v>565</v>
      </c>
      <c r="E108" t="s">
        <v>568</v>
      </c>
      <c r="F108" t="s">
        <v>548</v>
      </c>
      <c r="G108" t="s">
        <v>572</v>
      </c>
      <c r="H108" s="2">
        <v>8</v>
      </c>
      <c r="I108" s="1">
        <v>8000</v>
      </c>
      <c r="J108" s="1">
        <v>64000</v>
      </c>
      <c r="K108" s="1">
        <v>49920</v>
      </c>
      <c r="L108" s="1">
        <v>14080</v>
      </c>
    </row>
    <row r="109" spans="1:12" x14ac:dyDescent="0.3">
      <c r="A109" t="s">
        <v>154</v>
      </c>
      <c r="B109" s="3">
        <v>46101</v>
      </c>
      <c r="C109" t="s">
        <v>51</v>
      </c>
      <c r="D109" t="s">
        <v>565</v>
      </c>
      <c r="E109" t="s">
        <v>566</v>
      </c>
      <c r="F109" t="s">
        <v>27</v>
      </c>
      <c r="G109" t="s">
        <v>59</v>
      </c>
      <c r="H109" s="2">
        <v>4</v>
      </c>
      <c r="I109" s="1">
        <v>6500</v>
      </c>
      <c r="J109" s="1">
        <v>26000</v>
      </c>
      <c r="K109" s="1">
        <v>18720</v>
      </c>
      <c r="L109" s="1">
        <v>7280</v>
      </c>
    </row>
    <row r="110" spans="1:12" x14ac:dyDescent="0.3">
      <c r="A110" t="s">
        <v>155</v>
      </c>
      <c r="B110" s="3">
        <v>46101</v>
      </c>
      <c r="C110" t="s">
        <v>564</v>
      </c>
      <c r="D110" t="s">
        <v>20</v>
      </c>
      <c r="E110" t="s">
        <v>23</v>
      </c>
      <c r="F110" t="s">
        <v>27</v>
      </c>
      <c r="G110" t="s">
        <v>31</v>
      </c>
      <c r="H110" s="2">
        <v>6</v>
      </c>
      <c r="I110" s="1">
        <v>7500</v>
      </c>
      <c r="J110" s="1">
        <v>45000</v>
      </c>
      <c r="K110" s="1">
        <v>32400</v>
      </c>
      <c r="L110" s="1">
        <v>12600</v>
      </c>
    </row>
    <row r="111" spans="1:12" x14ac:dyDescent="0.3">
      <c r="A111" t="s">
        <v>156</v>
      </c>
      <c r="B111" s="3">
        <v>46102</v>
      </c>
      <c r="C111" t="s">
        <v>18</v>
      </c>
      <c r="D111" t="s">
        <v>20</v>
      </c>
      <c r="E111" t="s">
        <v>550</v>
      </c>
      <c r="F111" t="s">
        <v>28</v>
      </c>
      <c r="G111" t="s">
        <v>60</v>
      </c>
      <c r="H111" s="2">
        <v>3</v>
      </c>
      <c r="I111" s="1">
        <v>2500</v>
      </c>
      <c r="J111" s="1">
        <v>7500</v>
      </c>
      <c r="K111" s="1">
        <v>6150</v>
      </c>
      <c r="L111" s="1">
        <v>1350</v>
      </c>
    </row>
    <row r="112" spans="1:12" x14ac:dyDescent="0.3">
      <c r="A112" t="s">
        <v>157</v>
      </c>
      <c r="B112" s="3">
        <v>46103</v>
      </c>
      <c r="C112" t="s">
        <v>587</v>
      </c>
      <c r="D112" t="s">
        <v>22</v>
      </c>
      <c r="E112" t="s">
        <v>569</v>
      </c>
      <c r="F112" t="s">
        <v>560</v>
      </c>
      <c r="G112" t="s">
        <v>561</v>
      </c>
      <c r="H112" s="2">
        <v>7</v>
      </c>
      <c r="I112" s="1">
        <v>400</v>
      </c>
      <c r="J112" s="1">
        <v>2800</v>
      </c>
      <c r="K112" s="1">
        <v>1540.0000000000002</v>
      </c>
      <c r="L112" s="1">
        <v>1259.9999999999998</v>
      </c>
    </row>
    <row r="113" spans="1:12" x14ac:dyDescent="0.3">
      <c r="A113" t="s">
        <v>158</v>
      </c>
      <c r="B113" s="3">
        <v>46103</v>
      </c>
      <c r="C113" t="s">
        <v>47</v>
      </c>
      <c r="D113" t="s">
        <v>22</v>
      </c>
      <c r="E113" t="s">
        <v>26</v>
      </c>
      <c r="F113" t="s">
        <v>553</v>
      </c>
      <c r="G113" t="s">
        <v>570</v>
      </c>
      <c r="H113" s="2">
        <v>8</v>
      </c>
      <c r="I113" s="1">
        <v>15000</v>
      </c>
      <c r="J113" s="1">
        <v>120000</v>
      </c>
      <c r="K113" s="1">
        <v>78000</v>
      </c>
      <c r="L113" s="1">
        <v>42000</v>
      </c>
    </row>
    <row r="114" spans="1:12" x14ac:dyDescent="0.3">
      <c r="A114" t="s">
        <v>159</v>
      </c>
      <c r="B114" s="3">
        <v>46104</v>
      </c>
      <c r="C114" t="s">
        <v>576</v>
      </c>
      <c r="D114" t="s">
        <v>565</v>
      </c>
      <c r="E114" t="s">
        <v>571</v>
      </c>
      <c r="F114" t="s">
        <v>551</v>
      </c>
      <c r="G114" t="s">
        <v>579</v>
      </c>
      <c r="H114" s="2">
        <v>6</v>
      </c>
      <c r="I114" s="1">
        <v>700</v>
      </c>
      <c r="J114" s="1">
        <v>4200</v>
      </c>
      <c r="K114" s="1">
        <v>2520</v>
      </c>
      <c r="L114" s="1">
        <v>1680</v>
      </c>
    </row>
    <row r="115" spans="1:12" x14ac:dyDescent="0.3">
      <c r="A115" t="s">
        <v>160</v>
      </c>
      <c r="B115" s="3">
        <v>46105</v>
      </c>
      <c r="C115" t="s">
        <v>48</v>
      </c>
      <c r="D115" t="s">
        <v>20</v>
      </c>
      <c r="E115" t="s">
        <v>23</v>
      </c>
      <c r="F115" t="s">
        <v>560</v>
      </c>
      <c r="G115" t="s">
        <v>561</v>
      </c>
      <c r="H115" s="2">
        <v>1</v>
      </c>
      <c r="I115" s="1">
        <v>400</v>
      </c>
      <c r="J115" s="1">
        <v>400</v>
      </c>
      <c r="K115" s="1">
        <v>220.00000000000003</v>
      </c>
      <c r="L115" s="1">
        <v>179.99999999999997</v>
      </c>
    </row>
    <row r="116" spans="1:12" x14ac:dyDescent="0.3">
      <c r="A116" t="s">
        <v>161</v>
      </c>
      <c r="B116" s="3">
        <v>46106</v>
      </c>
      <c r="C116" t="s">
        <v>547</v>
      </c>
      <c r="D116" t="s">
        <v>22</v>
      </c>
      <c r="E116" t="s">
        <v>569</v>
      </c>
      <c r="F116" t="s">
        <v>548</v>
      </c>
      <c r="G116" t="s">
        <v>574</v>
      </c>
      <c r="H116" s="2">
        <v>4</v>
      </c>
      <c r="I116" s="1">
        <v>35000</v>
      </c>
      <c r="J116" s="1">
        <v>140000</v>
      </c>
      <c r="K116" s="1">
        <v>109200</v>
      </c>
      <c r="L116" s="1">
        <v>30800</v>
      </c>
    </row>
    <row r="117" spans="1:12" x14ac:dyDescent="0.3">
      <c r="A117" t="s">
        <v>162</v>
      </c>
      <c r="B117" s="3">
        <v>46106</v>
      </c>
      <c r="C117" t="s">
        <v>573</v>
      </c>
      <c r="D117" t="s">
        <v>21</v>
      </c>
      <c r="E117" t="s">
        <v>25</v>
      </c>
      <c r="F117" t="s">
        <v>27</v>
      </c>
      <c r="G117" t="s">
        <v>29</v>
      </c>
      <c r="H117" s="2">
        <v>8</v>
      </c>
      <c r="I117" s="1">
        <v>4500</v>
      </c>
      <c r="J117" s="1">
        <v>36000</v>
      </c>
      <c r="K117" s="1">
        <v>25920</v>
      </c>
      <c r="L117" s="1">
        <v>10080</v>
      </c>
    </row>
    <row r="118" spans="1:12" x14ac:dyDescent="0.3">
      <c r="A118" t="s">
        <v>163</v>
      </c>
      <c r="B118" s="3">
        <v>46107</v>
      </c>
      <c r="C118" t="s">
        <v>576</v>
      </c>
      <c r="D118" t="s">
        <v>20</v>
      </c>
      <c r="E118" t="s">
        <v>550</v>
      </c>
      <c r="F118" t="s">
        <v>28</v>
      </c>
      <c r="G118" t="s">
        <v>60</v>
      </c>
      <c r="H118" s="2">
        <v>6</v>
      </c>
      <c r="I118" s="1">
        <v>2500</v>
      </c>
      <c r="J118" s="1">
        <v>15000</v>
      </c>
      <c r="K118" s="1">
        <v>12300</v>
      </c>
      <c r="L118" s="1">
        <v>2700</v>
      </c>
    </row>
    <row r="119" spans="1:12" x14ac:dyDescent="0.3">
      <c r="A119" t="s">
        <v>164</v>
      </c>
      <c r="B119" s="3">
        <v>46108</v>
      </c>
      <c r="C119" t="s">
        <v>48</v>
      </c>
      <c r="D119" t="s">
        <v>21</v>
      </c>
      <c r="E119" t="s">
        <v>25</v>
      </c>
      <c r="F119" t="s">
        <v>548</v>
      </c>
      <c r="G119" t="s">
        <v>574</v>
      </c>
      <c r="H119" s="2">
        <v>8</v>
      </c>
      <c r="I119" s="1">
        <v>35000</v>
      </c>
      <c r="J119" s="1">
        <v>280000</v>
      </c>
      <c r="K119" s="1">
        <v>218400</v>
      </c>
      <c r="L119" s="1">
        <v>61600</v>
      </c>
    </row>
    <row r="120" spans="1:12" x14ac:dyDescent="0.3">
      <c r="A120" t="s">
        <v>165</v>
      </c>
      <c r="B120" s="3">
        <v>46109</v>
      </c>
      <c r="C120" t="s">
        <v>48</v>
      </c>
      <c r="D120" t="s">
        <v>22</v>
      </c>
      <c r="E120" t="s">
        <v>569</v>
      </c>
      <c r="F120" t="s">
        <v>28</v>
      </c>
      <c r="G120" t="s">
        <v>30</v>
      </c>
      <c r="H120" s="2">
        <v>2</v>
      </c>
      <c r="I120" s="1">
        <v>12000</v>
      </c>
      <c r="J120" s="1">
        <v>24000</v>
      </c>
      <c r="K120" s="1">
        <v>19680</v>
      </c>
      <c r="L120" s="1">
        <v>4320</v>
      </c>
    </row>
    <row r="121" spans="1:12" x14ac:dyDescent="0.3">
      <c r="A121" t="s">
        <v>166</v>
      </c>
      <c r="B121" s="3">
        <v>46109</v>
      </c>
      <c r="C121" t="s">
        <v>43</v>
      </c>
      <c r="D121" t="s">
        <v>565</v>
      </c>
      <c r="E121" t="s">
        <v>571</v>
      </c>
      <c r="F121" t="s">
        <v>553</v>
      </c>
      <c r="G121" t="s">
        <v>563</v>
      </c>
      <c r="H121" s="2">
        <v>3</v>
      </c>
      <c r="I121" s="1">
        <v>500</v>
      </c>
      <c r="J121" s="1">
        <v>1500</v>
      </c>
      <c r="K121" s="1">
        <v>975</v>
      </c>
      <c r="L121" s="1">
        <v>525</v>
      </c>
    </row>
    <row r="122" spans="1:12" x14ac:dyDescent="0.3">
      <c r="A122" t="s">
        <v>167</v>
      </c>
      <c r="B122" s="3">
        <v>46110</v>
      </c>
      <c r="C122" t="s">
        <v>46</v>
      </c>
      <c r="D122" t="s">
        <v>22</v>
      </c>
      <c r="E122" t="s">
        <v>569</v>
      </c>
      <c r="F122" t="s">
        <v>551</v>
      </c>
      <c r="G122" t="s">
        <v>585</v>
      </c>
      <c r="H122" s="2">
        <v>7</v>
      </c>
      <c r="I122" s="1">
        <v>500</v>
      </c>
      <c r="J122" s="1">
        <v>3500</v>
      </c>
      <c r="K122" s="1">
        <v>2100</v>
      </c>
      <c r="L122" s="1">
        <v>1400</v>
      </c>
    </row>
    <row r="123" spans="1:12" x14ac:dyDescent="0.3">
      <c r="A123" t="s">
        <v>168</v>
      </c>
      <c r="B123" s="3">
        <v>46111</v>
      </c>
      <c r="C123" t="s">
        <v>587</v>
      </c>
      <c r="D123" t="s">
        <v>565</v>
      </c>
      <c r="E123" t="s">
        <v>566</v>
      </c>
      <c r="F123" t="s">
        <v>28</v>
      </c>
      <c r="G123" t="s">
        <v>32</v>
      </c>
      <c r="H123" s="2">
        <v>8</v>
      </c>
      <c r="I123" s="1">
        <v>1800</v>
      </c>
      <c r="J123" s="1">
        <v>14400</v>
      </c>
      <c r="K123" s="1">
        <v>11808</v>
      </c>
      <c r="L123" s="1">
        <v>2592</v>
      </c>
    </row>
    <row r="124" spans="1:12" x14ac:dyDescent="0.3">
      <c r="A124" t="s">
        <v>169</v>
      </c>
      <c r="B124" s="3">
        <v>46111</v>
      </c>
      <c r="C124" t="s">
        <v>19</v>
      </c>
      <c r="D124" t="s">
        <v>22</v>
      </c>
      <c r="E124" t="s">
        <v>26</v>
      </c>
      <c r="F124" t="s">
        <v>28</v>
      </c>
      <c r="G124" t="s">
        <v>30</v>
      </c>
      <c r="H124" s="2">
        <v>6</v>
      </c>
      <c r="I124" s="1">
        <v>12000</v>
      </c>
      <c r="J124" s="1">
        <v>72000</v>
      </c>
      <c r="K124" s="1">
        <v>59040</v>
      </c>
      <c r="L124" s="1">
        <v>12960</v>
      </c>
    </row>
    <row r="125" spans="1:12" x14ac:dyDescent="0.3">
      <c r="A125" t="s">
        <v>170</v>
      </c>
      <c r="B125" s="3">
        <v>46112</v>
      </c>
      <c r="C125" t="s">
        <v>18</v>
      </c>
      <c r="D125" t="s">
        <v>22</v>
      </c>
      <c r="E125" t="s">
        <v>26</v>
      </c>
      <c r="F125" t="s">
        <v>28</v>
      </c>
      <c r="G125" t="s">
        <v>30</v>
      </c>
      <c r="H125" s="2">
        <v>3</v>
      </c>
      <c r="I125" s="1">
        <v>12000</v>
      </c>
      <c r="J125" s="1">
        <v>36000</v>
      </c>
      <c r="K125" s="1">
        <v>29520</v>
      </c>
      <c r="L125" s="1">
        <v>6480</v>
      </c>
    </row>
    <row r="126" spans="1:12" x14ac:dyDescent="0.3">
      <c r="A126" t="s">
        <v>171</v>
      </c>
      <c r="B126" s="3">
        <v>46113</v>
      </c>
      <c r="C126" t="s">
        <v>547</v>
      </c>
      <c r="D126" t="s">
        <v>21</v>
      </c>
      <c r="E126" t="s">
        <v>24</v>
      </c>
      <c r="F126" t="s">
        <v>548</v>
      </c>
      <c r="G126" t="s">
        <v>574</v>
      </c>
      <c r="H126" s="2">
        <v>7</v>
      </c>
      <c r="I126" s="1">
        <v>35000</v>
      </c>
      <c r="J126" s="1">
        <v>245000</v>
      </c>
      <c r="K126" s="1">
        <v>191100</v>
      </c>
      <c r="L126" s="1">
        <v>53900</v>
      </c>
    </row>
    <row r="127" spans="1:12" x14ac:dyDescent="0.3">
      <c r="A127" t="s">
        <v>172</v>
      </c>
      <c r="B127" s="3">
        <v>46114</v>
      </c>
      <c r="C127" t="s">
        <v>17</v>
      </c>
      <c r="D127" t="s">
        <v>20</v>
      </c>
      <c r="E127" t="s">
        <v>550</v>
      </c>
      <c r="F127" t="s">
        <v>553</v>
      </c>
      <c r="G127" t="s">
        <v>554</v>
      </c>
      <c r="H127" s="2">
        <v>3</v>
      </c>
      <c r="I127" s="1">
        <v>300</v>
      </c>
      <c r="J127" s="1">
        <v>900</v>
      </c>
      <c r="K127" s="1">
        <v>585</v>
      </c>
      <c r="L127" s="1">
        <v>315</v>
      </c>
    </row>
    <row r="128" spans="1:12" x14ac:dyDescent="0.3">
      <c r="A128" t="s">
        <v>173</v>
      </c>
      <c r="B128" s="3">
        <v>46114</v>
      </c>
      <c r="C128" t="s">
        <v>52</v>
      </c>
      <c r="D128" t="s">
        <v>21</v>
      </c>
      <c r="E128" t="s">
        <v>559</v>
      </c>
      <c r="F128" t="s">
        <v>551</v>
      </c>
      <c r="G128" t="s">
        <v>558</v>
      </c>
      <c r="H128" s="2">
        <v>5</v>
      </c>
      <c r="I128" s="1">
        <v>1500</v>
      </c>
      <c r="J128" s="1">
        <v>7500</v>
      </c>
      <c r="K128" s="1">
        <v>4500</v>
      </c>
      <c r="L128" s="1">
        <v>3000</v>
      </c>
    </row>
    <row r="129" spans="1:12" x14ac:dyDescent="0.3">
      <c r="A129" t="s">
        <v>174</v>
      </c>
      <c r="B129" s="3">
        <v>46115</v>
      </c>
      <c r="C129" t="s">
        <v>17</v>
      </c>
      <c r="D129" t="s">
        <v>20</v>
      </c>
      <c r="E129" t="s">
        <v>55</v>
      </c>
      <c r="F129" t="s">
        <v>548</v>
      </c>
      <c r="G129" t="s">
        <v>572</v>
      </c>
      <c r="H129" s="2">
        <v>5</v>
      </c>
      <c r="I129" s="1">
        <v>8000</v>
      </c>
      <c r="J129" s="1">
        <v>40000</v>
      </c>
      <c r="K129" s="1">
        <v>31200</v>
      </c>
      <c r="L129" s="1">
        <v>8800</v>
      </c>
    </row>
    <row r="130" spans="1:12" x14ac:dyDescent="0.3">
      <c r="A130" t="s">
        <v>175</v>
      </c>
      <c r="B130" s="3">
        <v>46116</v>
      </c>
      <c r="C130" t="s">
        <v>583</v>
      </c>
      <c r="D130" t="s">
        <v>21</v>
      </c>
      <c r="E130" t="s">
        <v>25</v>
      </c>
      <c r="F130" t="s">
        <v>28</v>
      </c>
      <c r="G130" t="s">
        <v>32</v>
      </c>
      <c r="H130" s="2">
        <v>6</v>
      </c>
      <c r="I130" s="1">
        <v>1800</v>
      </c>
      <c r="J130" s="1">
        <v>10800</v>
      </c>
      <c r="K130" s="1">
        <v>8856</v>
      </c>
      <c r="L130" s="1">
        <v>1944</v>
      </c>
    </row>
    <row r="131" spans="1:12" x14ac:dyDescent="0.3">
      <c r="A131" t="s">
        <v>176</v>
      </c>
      <c r="B131" s="3">
        <v>46117</v>
      </c>
      <c r="C131" t="s">
        <v>48</v>
      </c>
      <c r="D131" t="s">
        <v>21</v>
      </c>
      <c r="E131" t="s">
        <v>559</v>
      </c>
      <c r="F131" t="s">
        <v>553</v>
      </c>
      <c r="G131" t="s">
        <v>570</v>
      </c>
      <c r="H131" s="2">
        <v>7</v>
      </c>
      <c r="I131" s="1">
        <v>15000</v>
      </c>
      <c r="J131" s="1">
        <v>105000</v>
      </c>
      <c r="K131" s="1">
        <v>68250</v>
      </c>
      <c r="L131" s="1">
        <v>36750</v>
      </c>
    </row>
    <row r="132" spans="1:12" x14ac:dyDescent="0.3">
      <c r="A132" t="s">
        <v>177</v>
      </c>
      <c r="B132" s="3">
        <v>46117</v>
      </c>
      <c r="C132" t="s">
        <v>50</v>
      </c>
      <c r="D132" t="s">
        <v>21</v>
      </c>
      <c r="E132" t="s">
        <v>25</v>
      </c>
      <c r="F132" t="s">
        <v>548</v>
      </c>
      <c r="G132" t="s">
        <v>578</v>
      </c>
      <c r="H132" s="2">
        <v>8</v>
      </c>
      <c r="I132" s="1">
        <v>12000</v>
      </c>
      <c r="J132" s="1">
        <v>96000</v>
      </c>
      <c r="K132" s="1">
        <v>74880</v>
      </c>
      <c r="L132" s="1">
        <v>21120</v>
      </c>
    </row>
    <row r="133" spans="1:12" x14ac:dyDescent="0.3">
      <c r="A133" t="s">
        <v>178</v>
      </c>
      <c r="B133" s="3">
        <v>46118</v>
      </c>
      <c r="C133" t="s">
        <v>18</v>
      </c>
      <c r="D133" t="s">
        <v>565</v>
      </c>
      <c r="E133" t="s">
        <v>566</v>
      </c>
      <c r="F133" t="s">
        <v>551</v>
      </c>
      <c r="G133" t="s">
        <v>585</v>
      </c>
      <c r="H133" s="2">
        <v>8</v>
      </c>
      <c r="I133" s="1">
        <v>500</v>
      </c>
      <c r="J133" s="1">
        <v>4000</v>
      </c>
      <c r="K133" s="1">
        <v>2400</v>
      </c>
      <c r="L133" s="1">
        <v>1600</v>
      </c>
    </row>
    <row r="134" spans="1:12" x14ac:dyDescent="0.3">
      <c r="A134" t="s">
        <v>179</v>
      </c>
      <c r="B134" s="3">
        <v>46119</v>
      </c>
      <c r="C134" t="s">
        <v>18</v>
      </c>
      <c r="D134" t="s">
        <v>21</v>
      </c>
      <c r="E134" t="s">
        <v>562</v>
      </c>
      <c r="F134" t="s">
        <v>548</v>
      </c>
      <c r="G134" t="s">
        <v>586</v>
      </c>
      <c r="H134" s="2">
        <v>4</v>
      </c>
      <c r="I134" s="1">
        <v>18000</v>
      </c>
      <c r="J134" s="1">
        <v>72000</v>
      </c>
      <c r="K134" s="1">
        <v>56160</v>
      </c>
      <c r="L134" s="1">
        <v>15840</v>
      </c>
    </row>
    <row r="135" spans="1:12" x14ac:dyDescent="0.3">
      <c r="A135" t="s">
        <v>180</v>
      </c>
      <c r="B135" s="3">
        <v>46120</v>
      </c>
      <c r="C135" t="s">
        <v>576</v>
      </c>
      <c r="D135" t="s">
        <v>21</v>
      </c>
      <c r="E135" t="s">
        <v>25</v>
      </c>
      <c r="F135" t="s">
        <v>553</v>
      </c>
      <c r="G135" t="s">
        <v>563</v>
      </c>
      <c r="H135" s="2">
        <v>3</v>
      </c>
      <c r="I135" s="1">
        <v>500</v>
      </c>
      <c r="J135" s="1">
        <v>1500</v>
      </c>
      <c r="K135" s="1">
        <v>975</v>
      </c>
      <c r="L135" s="1">
        <v>525</v>
      </c>
    </row>
    <row r="136" spans="1:12" x14ac:dyDescent="0.3">
      <c r="A136" t="s">
        <v>181</v>
      </c>
      <c r="B136" s="3">
        <v>46120</v>
      </c>
      <c r="C136" t="s">
        <v>576</v>
      </c>
      <c r="D136" t="s">
        <v>22</v>
      </c>
      <c r="E136" t="s">
        <v>569</v>
      </c>
      <c r="F136" t="s">
        <v>27</v>
      </c>
      <c r="G136" t="s">
        <v>57</v>
      </c>
      <c r="H136" s="2">
        <v>3</v>
      </c>
      <c r="I136" s="1">
        <v>8500</v>
      </c>
      <c r="J136" s="1">
        <v>25500</v>
      </c>
      <c r="K136" s="1">
        <v>18360</v>
      </c>
      <c r="L136" s="1">
        <v>7140</v>
      </c>
    </row>
    <row r="137" spans="1:12" x14ac:dyDescent="0.3">
      <c r="A137" t="s">
        <v>182</v>
      </c>
      <c r="B137" s="3">
        <v>46121</v>
      </c>
      <c r="C137" t="s">
        <v>583</v>
      </c>
      <c r="D137" t="s">
        <v>565</v>
      </c>
      <c r="E137" t="s">
        <v>568</v>
      </c>
      <c r="F137" t="s">
        <v>560</v>
      </c>
      <c r="G137" t="s">
        <v>584</v>
      </c>
      <c r="H137" s="2">
        <v>8</v>
      </c>
      <c r="I137" s="1">
        <v>250</v>
      </c>
      <c r="J137" s="1">
        <v>2000</v>
      </c>
      <c r="K137" s="1">
        <v>1100</v>
      </c>
      <c r="L137" s="1">
        <v>900</v>
      </c>
    </row>
    <row r="138" spans="1:12" x14ac:dyDescent="0.3">
      <c r="A138" t="s">
        <v>183</v>
      </c>
      <c r="B138" s="3">
        <v>46122</v>
      </c>
      <c r="C138" t="s">
        <v>573</v>
      </c>
      <c r="D138" t="s">
        <v>20</v>
      </c>
      <c r="E138" t="s">
        <v>550</v>
      </c>
      <c r="F138" t="s">
        <v>553</v>
      </c>
      <c r="G138" t="s">
        <v>554</v>
      </c>
      <c r="H138" s="2">
        <v>8</v>
      </c>
      <c r="I138" s="1">
        <v>300</v>
      </c>
      <c r="J138" s="1">
        <v>2400</v>
      </c>
      <c r="K138" s="1">
        <v>1560</v>
      </c>
      <c r="L138" s="1">
        <v>840</v>
      </c>
    </row>
    <row r="139" spans="1:12" x14ac:dyDescent="0.3">
      <c r="A139" t="s">
        <v>184</v>
      </c>
      <c r="B139" s="3">
        <v>46122</v>
      </c>
      <c r="C139" t="s">
        <v>43</v>
      </c>
      <c r="D139" t="s">
        <v>565</v>
      </c>
      <c r="E139" t="s">
        <v>571</v>
      </c>
      <c r="F139" t="s">
        <v>560</v>
      </c>
      <c r="G139" t="s">
        <v>581</v>
      </c>
      <c r="H139" s="2">
        <v>2</v>
      </c>
      <c r="I139" s="1">
        <v>150</v>
      </c>
      <c r="J139" s="1">
        <v>300</v>
      </c>
      <c r="K139" s="1">
        <v>165</v>
      </c>
      <c r="L139" s="1">
        <v>135</v>
      </c>
    </row>
    <row r="140" spans="1:12" x14ac:dyDescent="0.3">
      <c r="A140" t="s">
        <v>185</v>
      </c>
      <c r="B140" s="3">
        <v>46123</v>
      </c>
      <c r="C140" t="s">
        <v>564</v>
      </c>
      <c r="D140" t="s">
        <v>22</v>
      </c>
      <c r="E140" t="s">
        <v>54</v>
      </c>
      <c r="F140" t="s">
        <v>553</v>
      </c>
      <c r="G140" t="s">
        <v>557</v>
      </c>
      <c r="H140" s="2">
        <v>7</v>
      </c>
      <c r="I140" s="1">
        <v>600</v>
      </c>
      <c r="J140" s="1">
        <v>4200</v>
      </c>
      <c r="K140" s="1">
        <v>2730</v>
      </c>
      <c r="L140" s="1">
        <v>1470</v>
      </c>
    </row>
    <row r="141" spans="1:12" x14ac:dyDescent="0.3">
      <c r="A141" t="s">
        <v>186</v>
      </c>
      <c r="B141" s="3">
        <v>46124</v>
      </c>
      <c r="C141" t="s">
        <v>555</v>
      </c>
      <c r="D141" t="s">
        <v>565</v>
      </c>
      <c r="E141" t="s">
        <v>582</v>
      </c>
      <c r="F141" t="s">
        <v>28</v>
      </c>
      <c r="G141" t="s">
        <v>60</v>
      </c>
      <c r="H141" s="2">
        <v>5</v>
      </c>
      <c r="I141" s="1">
        <v>2500</v>
      </c>
      <c r="J141" s="1">
        <v>12500</v>
      </c>
      <c r="K141" s="1">
        <v>10250</v>
      </c>
      <c r="L141" s="1">
        <v>2250</v>
      </c>
    </row>
    <row r="142" spans="1:12" x14ac:dyDescent="0.3">
      <c r="A142" t="s">
        <v>187</v>
      </c>
      <c r="B142" s="3">
        <v>46125</v>
      </c>
      <c r="C142" t="s">
        <v>48</v>
      </c>
      <c r="D142" t="s">
        <v>22</v>
      </c>
      <c r="E142" t="s">
        <v>54</v>
      </c>
      <c r="F142" t="s">
        <v>548</v>
      </c>
      <c r="G142" t="s">
        <v>572</v>
      </c>
      <c r="H142" s="2">
        <v>5</v>
      </c>
      <c r="I142" s="1">
        <v>8000</v>
      </c>
      <c r="J142" s="1">
        <v>40000</v>
      </c>
      <c r="K142" s="1">
        <v>31200</v>
      </c>
      <c r="L142" s="1">
        <v>8800</v>
      </c>
    </row>
    <row r="143" spans="1:12" x14ac:dyDescent="0.3">
      <c r="A143" t="s">
        <v>188</v>
      </c>
      <c r="B143" s="3">
        <v>46125</v>
      </c>
      <c r="C143" t="s">
        <v>19</v>
      </c>
      <c r="D143" t="s">
        <v>21</v>
      </c>
      <c r="E143" t="s">
        <v>24</v>
      </c>
      <c r="F143" t="s">
        <v>27</v>
      </c>
      <c r="G143" t="s">
        <v>61</v>
      </c>
      <c r="H143" s="2">
        <v>5</v>
      </c>
      <c r="I143" s="1">
        <v>28000</v>
      </c>
      <c r="J143" s="1">
        <v>140000</v>
      </c>
      <c r="K143" s="1">
        <v>100800</v>
      </c>
      <c r="L143" s="1">
        <v>39200</v>
      </c>
    </row>
    <row r="144" spans="1:12" x14ac:dyDescent="0.3">
      <c r="A144" t="s">
        <v>189</v>
      </c>
      <c r="B144" s="3">
        <v>46126</v>
      </c>
      <c r="C144" t="s">
        <v>18</v>
      </c>
      <c r="D144" t="s">
        <v>565</v>
      </c>
      <c r="E144" t="s">
        <v>566</v>
      </c>
      <c r="F144" t="s">
        <v>553</v>
      </c>
      <c r="G144" t="s">
        <v>570</v>
      </c>
      <c r="H144" s="2">
        <v>3</v>
      </c>
      <c r="I144" s="1">
        <v>15000</v>
      </c>
      <c r="J144" s="1">
        <v>45000</v>
      </c>
      <c r="K144" s="1">
        <v>29250</v>
      </c>
      <c r="L144" s="1">
        <v>15750</v>
      </c>
    </row>
    <row r="145" spans="1:12" x14ac:dyDescent="0.3">
      <c r="A145" t="s">
        <v>190</v>
      </c>
      <c r="B145" s="3">
        <v>46127</v>
      </c>
      <c r="C145" t="s">
        <v>48</v>
      </c>
      <c r="D145" t="s">
        <v>21</v>
      </c>
      <c r="E145" t="s">
        <v>562</v>
      </c>
      <c r="F145" t="s">
        <v>548</v>
      </c>
      <c r="G145" t="s">
        <v>574</v>
      </c>
      <c r="H145" s="2">
        <v>4</v>
      </c>
      <c r="I145" s="1">
        <v>35000</v>
      </c>
      <c r="J145" s="1">
        <v>140000</v>
      </c>
      <c r="K145" s="1">
        <v>109200</v>
      </c>
      <c r="L145" s="1">
        <v>30800</v>
      </c>
    </row>
    <row r="146" spans="1:12" x14ac:dyDescent="0.3">
      <c r="A146" t="s">
        <v>191</v>
      </c>
      <c r="B146" s="3">
        <v>46128</v>
      </c>
      <c r="C146" t="s">
        <v>46</v>
      </c>
      <c r="D146" t="s">
        <v>20</v>
      </c>
      <c r="E146" t="s">
        <v>550</v>
      </c>
      <c r="F146" t="s">
        <v>27</v>
      </c>
      <c r="G146" t="s">
        <v>61</v>
      </c>
      <c r="H146" s="2">
        <v>7</v>
      </c>
      <c r="I146" s="1">
        <v>28000</v>
      </c>
      <c r="J146" s="1">
        <v>196000</v>
      </c>
      <c r="K146" s="1">
        <v>141120</v>
      </c>
      <c r="L146" s="1">
        <v>54880</v>
      </c>
    </row>
    <row r="147" spans="1:12" x14ac:dyDescent="0.3">
      <c r="A147" t="s">
        <v>192</v>
      </c>
      <c r="B147" s="3">
        <v>46128</v>
      </c>
      <c r="C147" t="s">
        <v>547</v>
      </c>
      <c r="D147" t="s">
        <v>20</v>
      </c>
      <c r="E147" t="s">
        <v>23</v>
      </c>
      <c r="F147" t="s">
        <v>27</v>
      </c>
      <c r="G147" t="s">
        <v>61</v>
      </c>
      <c r="H147" s="2">
        <v>5</v>
      </c>
      <c r="I147" s="1">
        <v>28000</v>
      </c>
      <c r="J147" s="1">
        <v>140000</v>
      </c>
      <c r="K147" s="1">
        <v>100800</v>
      </c>
      <c r="L147" s="1">
        <v>39200</v>
      </c>
    </row>
    <row r="148" spans="1:12" x14ac:dyDescent="0.3">
      <c r="A148" t="s">
        <v>193</v>
      </c>
      <c r="B148" s="3">
        <v>46129</v>
      </c>
      <c r="C148" t="s">
        <v>583</v>
      </c>
      <c r="D148" t="s">
        <v>22</v>
      </c>
      <c r="E148" t="s">
        <v>569</v>
      </c>
      <c r="F148" t="s">
        <v>28</v>
      </c>
      <c r="G148" t="s">
        <v>60</v>
      </c>
      <c r="H148" s="2">
        <v>8</v>
      </c>
      <c r="I148" s="1">
        <v>2500</v>
      </c>
      <c r="J148" s="1">
        <v>20000</v>
      </c>
      <c r="K148" s="1">
        <v>16400</v>
      </c>
      <c r="L148" s="1">
        <v>3600</v>
      </c>
    </row>
    <row r="149" spans="1:12" x14ac:dyDescent="0.3">
      <c r="A149" t="s">
        <v>194</v>
      </c>
      <c r="B149" s="3">
        <v>46130</v>
      </c>
      <c r="C149" t="s">
        <v>587</v>
      </c>
      <c r="D149" t="s">
        <v>20</v>
      </c>
      <c r="E149" t="s">
        <v>550</v>
      </c>
      <c r="F149" t="s">
        <v>560</v>
      </c>
      <c r="G149" t="s">
        <v>584</v>
      </c>
      <c r="H149" s="2">
        <v>5</v>
      </c>
      <c r="I149" s="1">
        <v>250</v>
      </c>
      <c r="J149" s="1">
        <v>1250</v>
      </c>
      <c r="K149" s="1">
        <v>687.5</v>
      </c>
      <c r="L149" s="1">
        <v>562.5</v>
      </c>
    </row>
    <row r="150" spans="1:12" x14ac:dyDescent="0.3">
      <c r="A150" t="s">
        <v>195</v>
      </c>
      <c r="B150" s="3">
        <v>46130</v>
      </c>
      <c r="C150" t="s">
        <v>45</v>
      </c>
      <c r="D150" t="s">
        <v>21</v>
      </c>
      <c r="E150" t="s">
        <v>25</v>
      </c>
      <c r="F150" t="s">
        <v>560</v>
      </c>
      <c r="G150" t="s">
        <v>584</v>
      </c>
      <c r="H150" s="2">
        <v>6</v>
      </c>
      <c r="I150" s="1">
        <v>250</v>
      </c>
      <c r="J150" s="1">
        <v>1500</v>
      </c>
      <c r="K150" s="1">
        <v>825.00000000000011</v>
      </c>
      <c r="L150" s="1">
        <v>674.99999999999989</v>
      </c>
    </row>
    <row r="151" spans="1:12" x14ac:dyDescent="0.3">
      <c r="A151" t="s">
        <v>196</v>
      </c>
      <c r="B151" s="3">
        <v>46131</v>
      </c>
      <c r="C151" t="s">
        <v>52</v>
      </c>
      <c r="D151" t="s">
        <v>22</v>
      </c>
      <c r="E151" t="s">
        <v>569</v>
      </c>
      <c r="F151" t="s">
        <v>551</v>
      </c>
      <c r="G151" t="s">
        <v>585</v>
      </c>
      <c r="H151" s="2">
        <v>5</v>
      </c>
      <c r="I151" s="1">
        <v>500</v>
      </c>
      <c r="J151" s="1">
        <v>2500</v>
      </c>
      <c r="K151" s="1">
        <v>1500</v>
      </c>
      <c r="L151" s="1">
        <v>1000</v>
      </c>
    </row>
    <row r="152" spans="1:12" x14ac:dyDescent="0.3">
      <c r="A152" t="s">
        <v>197</v>
      </c>
      <c r="B152" s="3">
        <v>46132</v>
      </c>
      <c r="C152" t="s">
        <v>564</v>
      </c>
      <c r="D152" t="s">
        <v>21</v>
      </c>
      <c r="E152" t="s">
        <v>562</v>
      </c>
      <c r="F152" t="s">
        <v>560</v>
      </c>
      <c r="G152" t="s">
        <v>581</v>
      </c>
      <c r="H152" s="2">
        <v>3</v>
      </c>
      <c r="I152" s="1">
        <v>150</v>
      </c>
      <c r="J152" s="1">
        <v>450</v>
      </c>
      <c r="K152" s="1">
        <v>247.50000000000003</v>
      </c>
      <c r="L152" s="1">
        <v>202.49999999999997</v>
      </c>
    </row>
    <row r="153" spans="1:12" x14ac:dyDescent="0.3">
      <c r="A153" t="s">
        <v>198</v>
      </c>
      <c r="B153" s="3">
        <v>46133</v>
      </c>
      <c r="C153" t="s">
        <v>587</v>
      </c>
      <c r="D153" t="s">
        <v>22</v>
      </c>
      <c r="E153" t="s">
        <v>556</v>
      </c>
      <c r="F153" t="s">
        <v>27</v>
      </c>
      <c r="G153" t="s">
        <v>57</v>
      </c>
      <c r="H153" s="2">
        <v>4</v>
      </c>
      <c r="I153" s="1">
        <v>8500</v>
      </c>
      <c r="J153" s="1">
        <v>34000</v>
      </c>
      <c r="K153" s="1">
        <v>24480</v>
      </c>
      <c r="L153" s="1">
        <v>9520</v>
      </c>
    </row>
    <row r="154" spans="1:12" x14ac:dyDescent="0.3">
      <c r="A154" t="s">
        <v>199</v>
      </c>
      <c r="B154" s="3">
        <v>46133</v>
      </c>
      <c r="C154" t="s">
        <v>49</v>
      </c>
      <c r="D154" t="s">
        <v>21</v>
      </c>
      <c r="E154" t="s">
        <v>24</v>
      </c>
      <c r="F154" t="s">
        <v>560</v>
      </c>
      <c r="G154" t="s">
        <v>561</v>
      </c>
      <c r="H154" s="2">
        <v>6</v>
      </c>
      <c r="I154" s="1">
        <v>400</v>
      </c>
      <c r="J154" s="1">
        <v>2400</v>
      </c>
      <c r="K154" s="1">
        <v>1320</v>
      </c>
      <c r="L154" s="1">
        <v>1080</v>
      </c>
    </row>
    <row r="155" spans="1:12" x14ac:dyDescent="0.3">
      <c r="A155" t="s">
        <v>200</v>
      </c>
      <c r="B155" s="3">
        <v>46134</v>
      </c>
      <c r="C155" t="s">
        <v>50</v>
      </c>
      <c r="D155" t="s">
        <v>565</v>
      </c>
      <c r="E155" t="s">
        <v>582</v>
      </c>
      <c r="F155" t="s">
        <v>548</v>
      </c>
      <c r="G155" t="s">
        <v>574</v>
      </c>
      <c r="H155" s="2">
        <v>6</v>
      </c>
      <c r="I155" s="1">
        <v>35000</v>
      </c>
      <c r="J155" s="1">
        <v>210000</v>
      </c>
      <c r="K155" s="1">
        <v>163800</v>
      </c>
      <c r="L155" s="1">
        <v>46200</v>
      </c>
    </row>
    <row r="156" spans="1:12" x14ac:dyDescent="0.3">
      <c r="A156" t="s">
        <v>201</v>
      </c>
      <c r="B156" s="3">
        <v>46135</v>
      </c>
      <c r="C156" t="s">
        <v>46</v>
      </c>
      <c r="D156" t="s">
        <v>20</v>
      </c>
      <c r="E156" t="s">
        <v>23</v>
      </c>
      <c r="F156" t="s">
        <v>560</v>
      </c>
      <c r="G156" t="s">
        <v>584</v>
      </c>
      <c r="H156" s="2">
        <v>2</v>
      </c>
      <c r="I156" s="1">
        <v>250</v>
      </c>
      <c r="J156" s="1">
        <v>500</v>
      </c>
      <c r="K156" s="1">
        <v>275</v>
      </c>
      <c r="L156" s="1">
        <v>225</v>
      </c>
    </row>
    <row r="157" spans="1:12" x14ac:dyDescent="0.3">
      <c r="A157" t="s">
        <v>202</v>
      </c>
      <c r="B157" s="3">
        <v>46136</v>
      </c>
      <c r="C157" t="s">
        <v>44</v>
      </c>
      <c r="D157" t="s">
        <v>565</v>
      </c>
      <c r="E157" t="s">
        <v>571</v>
      </c>
      <c r="F157" t="s">
        <v>27</v>
      </c>
      <c r="G157" t="s">
        <v>57</v>
      </c>
      <c r="H157" s="2">
        <v>1</v>
      </c>
      <c r="I157" s="1">
        <v>8500</v>
      </c>
      <c r="J157" s="1">
        <v>8500</v>
      </c>
      <c r="K157" s="1">
        <v>6120</v>
      </c>
      <c r="L157" s="1">
        <v>2380</v>
      </c>
    </row>
    <row r="158" spans="1:12" x14ac:dyDescent="0.3">
      <c r="A158" t="s">
        <v>203</v>
      </c>
      <c r="B158" s="3">
        <v>46136</v>
      </c>
      <c r="C158" t="s">
        <v>18</v>
      </c>
      <c r="D158" t="s">
        <v>22</v>
      </c>
      <c r="E158" t="s">
        <v>54</v>
      </c>
      <c r="F158" t="s">
        <v>551</v>
      </c>
      <c r="G158" t="s">
        <v>552</v>
      </c>
      <c r="H158" s="2">
        <v>8</v>
      </c>
      <c r="I158" s="1">
        <v>2500</v>
      </c>
      <c r="J158" s="1">
        <v>20000</v>
      </c>
      <c r="K158" s="1">
        <v>12000</v>
      </c>
      <c r="L158" s="1">
        <v>8000</v>
      </c>
    </row>
    <row r="159" spans="1:12" x14ac:dyDescent="0.3">
      <c r="A159" t="s">
        <v>204</v>
      </c>
      <c r="B159" s="3">
        <v>46137</v>
      </c>
      <c r="C159" t="s">
        <v>564</v>
      </c>
      <c r="D159" t="s">
        <v>20</v>
      </c>
      <c r="E159" t="s">
        <v>550</v>
      </c>
      <c r="F159" t="s">
        <v>548</v>
      </c>
      <c r="G159" t="s">
        <v>549</v>
      </c>
      <c r="H159" s="2">
        <v>4</v>
      </c>
      <c r="I159" s="1">
        <v>40000</v>
      </c>
      <c r="J159" s="1">
        <v>160000</v>
      </c>
      <c r="K159" s="1">
        <v>124800</v>
      </c>
      <c r="L159" s="1">
        <v>35200</v>
      </c>
    </row>
    <row r="160" spans="1:12" x14ac:dyDescent="0.3">
      <c r="A160" t="s">
        <v>205</v>
      </c>
      <c r="B160" s="3">
        <v>46138</v>
      </c>
      <c r="C160" t="s">
        <v>46</v>
      </c>
      <c r="D160" t="s">
        <v>21</v>
      </c>
      <c r="E160" t="s">
        <v>559</v>
      </c>
      <c r="F160" t="s">
        <v>28</v>
      </c>
      <c r="G160" t="s">
        <v>60</v>
      </c>
      <c r="H160" s="2">
        <v>1</v>
      </c>
      <c r="I160" s="1">
        <v>2500</v>
      </c>
      <c r="J160" s="1">
        <v>2500</v>
      </c>
      <c r="K160" s="1">
        <v>2050</v>
      </c>
      <c r="L160" s="1">
        <v>450</v>
      </c>
    </row>
    <row r="161" spans="1:12" x14ac:dyDescent="0.3">
      <c r="A161" t="s">
        <v>206</v>
      </c>
      <c r="B161" s="3">
        <v>46138</v>
      </c>
      <c r="C161" t="s">
        <v>51</v>
      </c>
      <c r="D161" t="s">
        <v>21</v>
      </c>
      <c r="E161" t="s">
        <v>562</v>
      </c>
      <c r="F161" t="s">
        <v>553</v>
      </c>
      <c r="G161" t="s">
        <v>570</v>
      </c>
      <c r="H161" s="2">
        <v>1</v>
      </c>
      <c r="I161" s="1">
        <v>15000</v>
      </c>
      <c r="J161" s="1">
        <v>15000</v>
      </c>
      <c r="K161" s="1">
        <v>9750</v>
      </c>
      <c r="L161" s="1">
        <v>5250</v>
      </c>
    </row>
    <row r="162" spans="1:12" x14ac:dyDescent="0.3">
      <c r="A162" t="s">
        <v>207</v>
      </c>
      <c r="B162" s="3">
        <v>46139</v>
      </c>
      <c r="C162" t="s">
        <v>573</v>
      </c>
      <c r="D162" t="s">
        <v>20</v>
      </c>
      <c r="E162" t="s">
        <v>55</v>
      </c>
      <c r="F162" t="s">
        <v>548</v>
      </c>
      <c r="G162" t="s">
        <v>586</v>
      </c>
      <c r="H162" s="2">
        <v>1</v>
      </c>
      <c r="I162" s="1">
        <v>18000</v>
      </c>
      <c r="J162" s="1">
        <v>18000</v>
      </c>
      <c r="K162" s="1">
        <v>14040</v>
      </c>
      <c r="L162" s="1">
        <v>3960</v>
      </c>
    </row>
    <row r="163" spans="1:12" x14ac:dyDescent="0.3">
      <c r="A163" t="s">
        <v>208</v>
      </c>
      <c r="B163" s="3">
        <v>46140</v>
      </c>
      <c r="C163" t="s">
        <v>50</v>
      </c>
      <c r="D163" t="s">
        <v>22</v>
      </c>
      <c r="E163" t="s">
        <v>556</v>
      </c>
      <c r="F163" t="s">
        <v>27</v>
      </c>
      <c r="G163" t="s">
        <v>29</v>
      </c>
      <c r="H163" s="2">
        <v>5</v>
      </c>
      <c r="I163" s="1">
        <v>4500</v>
      </c>
      <c r="J163" s="1">
        <v>22500</v>
      </c>
      <c r="K163" s="1">
        <v>16200</v>
      </c>
      <c r="L163" s="1">
        <v>6300</v>
      </c>
    </row>
    <row r="164" spans="1:12" x14ac:dyDescent="0.3">
      <c r="A164" t="s">
        <v>209</v>
      </c>
      <c r="B164" s="3">
        <v>46141</v>
      </c>
      <c r="C164" t="s">
        <v>51</v>
      </c>
      <c r="D164" t="s">
        <v>20</v>
      </c>
      <c r="E164" t="s">
        <v>23</v>
      </c>
      <c r="F164" t="s">
        <v>27</v>
      </c>
      <c r="G164" t="s">
        <v>57</v>
      </c>
      <c r="H164" s="2">
        <v>7</v>
      </c>
      <c r="I164" s="1">
        <v>8500</v>
      </c>
      <c r="J164" s="1">
        <v>59500</v>
      </c>
      <c r="K164" s="1">
        <v>42840</v>
      </c>
      <c r="L164" s="1">
        <v>16660</v>
      </c>
    </row>
    <row r="165" spans="1:12" x14ac:dyDescent="0.3">
      <c r="A165" t="s">
        <v>210</v>
      </c>
      <c r="B165" s="3">
        <v>46141</v>
      </c>
      <c r="C165" t="s">
        <v>52</v>
      </c>
      <c r="D165" t="s">
        <v>565</v>
      </c>
      <c r="E165" t="s">
        <v>571</v>
      </c>
      <c r="F165" t="s">
        <v>548</v>
      </c>
      <c r="G165" t="s">
        <v>578</v>
      </c>
      <c r="H165" s="2">
        <v>8</v>
      </c>
      <c r="I165" s="1">
        <v>12000</v>
      </c>
      <c r="J165" s="1">
        <v>96000</v>
      </c>
      <c r="K165" s="1">
        <v>74880</v>
      </c>
      <c r="L165" s="1">
        <v>21120</v>
      </c>
    </row>
    <row r="166" spans="1:12" x14ac:dyDescent="0.3">
      <c r="A166" t="s">
        <v>211</v>
      </c>
      <c r="B166" s="3">
        <v>46142</v>
      </c>
      <c r="C166" t="s">
        <v>583</v>
      </c>
      <c r="D166" t="s">
        <v>565</v>
      </c>
      <c r="E166" t="s">
        <v>582</v>
      </c>
      <c r="F166" t="s">
        <v>548</v>
      </c>
      <c r="G166" t="s">
        <v>572</v>
      </c>
      <c r="H166" s="2">
        <v>8</v>
      </c>
      <c r="I166" s="1">
        <v>8000</v>
      </c>
      <c r="J166" s="1">
        <v>64000</v>
      </c>
      <c r="K166" s="1">
        <v>49920</v>
      </c>
      <c r="L166" s="1">
        <v>14080</v>
      </c>
    </row>
    <row r="167" spans="1:12" x14ac:dyDescent="0.3">
      <c r="A167" t="s">
        <v>212</v>
      </c>
      <c r="B167" s="3">
        <v>46143</v>
      </c>
      <c r="C167" t="s">
        <v>555</v>
      </c>
      <c r="D167" t="s">
        <v>565</v>
      </c>
      <c r="E167" t="s">
        <v>566</v>
      </c>
      <c r="F167" t="s">
        <v>551</v>
      </c>
      <c r="G167" t="s">
        <v>558</v>
      </c>
      <c r="H167" s="2">
        <v>5</v>
      </c>
      <c r="I167" s="1">
        <v>1500</v>
      </c>
      <c r="J167" s="1">
        <v>7500</v>
      </c>
      <c r="K167" s="1">
        <v>4500</v>
      </c>
      <c r="L167" s="1">
        <v>3000</v>
      </c>
    </row>
    <row r="168" spans="1:12" x14ac:dyDescent="0.3">
      <c r="A168" t="s">
        <v>213</v>
      </c>
      <c r="B168" s="3">
        <v>46144</v>
      </c>
      <c r="C168" t="s">
        <v>43</v>
      </c>
      <c r="D168" t="s">
        <v>22</v>
      </c>
      <c r="E168" t="s">
        <v>26</v>
      </c>
      <c r="F168" t="s">
        <v>27</v>
      </c>
      <c r="G168" t="s">
        <v>29</v>
      </c>
      <c r="H168" s="2">
        <v>6</v>
      </c>
      <c r="I168" s="1">
        <v>4500</v>
      </c>
      <c r="J168" s="1">
        <v>27000</v>
      </c>
      <c r="K168" s="1">
        <v>19440</v>
      </c>
      <c r="L168" s="1">
        <v>7560</v>
      </c>
    </row>
    <row r="169" spans="1:12" x14ac:dyDescent="0.3">
      <c r="A169" t="s">
        <v>214</v>
      </c>
      <c r="B169" s="3">
        <v>46144</v>
      </c>
      <c r="C169" t="s">
        <v>576</v>
      </c>
      <c r="D169" t="s">
        <v>22</v>
      </c>
      <c r="E169" t="s">
        <v>569</v>
      </c>
      <c r="F169" t="s">
        <v>560</v>
      </c>
      <c r="G169" t="s">
        <v>567</v>
      </c>
      <c r="H169" s="2">
        <v>4</v>
      </c>
      <c r="I169" s="1">
        <v>300</v>
      </c>
      <c r="J169" s="1">
        <v>1200</v>
      </c>
      <c r="K169" s="1">
        <v>660</v>
      </c>
      <c r="L169" s="1">
        <v>540</v>
      </c>
    </row>
    <row r="170" spans="1:12" x14ac:dyDescent="0.3">
      <c r="A170" t="s">
        <v>215</v>
      </c>
      <c r="B170" s="3">
        <v>46145</v>
      </c>
      <c r="C170" t="s">
        <v>45</v>
      </c>
      <c r="D170" t="s">
        <v>22</v>
      </c>
      <c r="E170" t="s">
        <v>54</v>
      </c>
      <c r="F170" t="s">
        <v>553</v>
      </c>
      <c r="G170" t="s">
        <v>554</v>
      </c>
      <c r="H170" s="2">
        <v>1</v>
      </c>
      <c r="I170" s="1">
        <v>300</v>
      </c>
      <c r="J170" s="1">
        <v>300</v>
      </c>
      <c r="K170" s="1">
        <v>195</v>
      </c>
      <c r="L170" s="1">
        <v>105</v>
      </c>
    </row>
    <row r="171" spans="1:12" x14ac:dyDescent="0.3">
      <c r="A171" t="s">
        <v>216</v>
      </c>
      <c r="B171" s="3">
        <v>46146</v>
      </c>
      <c r="C171" t="s">
        <v>576</v>
      </c>
      <c r="D171" t="s">
        <v>20</v>
      </c>
      <c r="E171" t="s">
        <v>53</v>
      </c>
      <c r="F171" t="s">
        <v>28</v>
      </c>
      <c r="G171" t="s">
        <v>32</v>
      </c>
      <c r="H171" s="2">
        <v>6</v>
      </c>
      <c r="I171" s="1">
        <v>1800</v>
      </c>
      <c r="J171" s="1">
        <v>10800</v>
      </c>
      <c r="K171" s="1">
        <v>8856</v>
      </c>
      <c r="L171" s="1">
        <v>1944</v>
      </c>
    </row>
    <row r="172" spans="1:12" x14ac:dyDescent="0.3">
      <c r="A172" t="s">
        <v>217</v>
      </c>
      <c r="B172" s="3">
        <v>46147</v>
      </c>
      <c r="C172" t="s">
        <v>51</v>
      </c>
      <c r="D172" t="s">
        <v>22</v>
      </c>
      <c r="E172" t="s">
        <v>26</v>
      </c>
      <c r="F172" t="s">
        <v>551</v>
      </c>
      <c r="G172" t="s">
        <v>580</v>
      </c>
      <c r="H172" s="2">
        <v>5</v>
      </c>
      <c r="I172" s="1">
        <v>1800</v>
      </c>
      <c r="J172" s="1">
        <v>9000</v>
      </c>
      <c r="K172" s="1">
        <v>5400</v>
      </c>
      <c r="L172" s="1">
        <v>3600</v>
      </c>
    </row>
    <row r="173" spans="1:12" x14ac:dyDescent="0.3">
      <c r="A173" t="s">
        <v>218</v>
      </c>
      <c r="B173" s="3">
        <v>46147</v>
      </c>
      <c r="C173" t="s">
        <v>43</v>
      </c>
      <c r="D173" t="s">
        <v>20</v>
      </c>
      <c r="E173" t="s">
        <v>53</v>
      </c>
      <c r="F173" t="s">
        <v>560</v>
      </c>
      <c r="G173" t="s">
        <v>584</v>
      </c>
      <c r="H173" s="2">
        <v>2</v>
      </c>
      <c r="I173" s="1">
        <v>250</v>
      </c>
      <c r="J173" s="1">
        <v>500</v>
      </c>
      <c r="K173" s="1">
        <v>275</v>
      </c>
      <c r="L173" s="1">
        <v>225</v>
      </c>
    </row>
    <row r="174" spans="1:12" x14ac:dyDescent="0.3">
      <c r="A174" t="s">
        <v>219</v>
      </c>
      <c r="B174" s="3">
        <v>46148</v>
      </c>
      <c r="C174" t="s">
        <v>583</v>
      </c>
      <c r="D174" t="s">
        <v>565</v>
      </c>
      <c r="E174" t="s">
        <v>566</v>
      </c>
      <c r="F174" t="s">
        <v>551</v>
      </c>
      <c r="G174" t="s">
        <v>580</v>
      </c>
      <c r="H174" s="2">
        <v>5</v>
      </c>
      <c r="I174" s="1">
        <v>1800</v>
      </c>
      <c r="J174" s="1">
        <v>9000</v>
      </c>
      <c r="K174" s="1">
        <v>5400</v>
      </c>
      <c r="L174" s="1">
        <v>3600</v>
      </c>
    </row>
    <row r="175" spans="1:12" x14ac:dyDescent="0.3">
      <c r="A175" t="s">
        <v>220</v>
      </c>
      <c r="B175" s="3">
        <v>46149</v>
      </c>
      <c r="C175" t="s">
        <v>51</v>
      </c>
      <c r="D175" t="s">
        <v>20</v>
      </c>
      <c r="E175" t="s">
        <v>53</v>
      </c>
      <c r="F175" t="s">
        <v>27</v>
      </c>
      <c r="G175" t="s">
        <v>57</v>
      </c>
      <c r="H175" s="2">
        <v>5</v>
      </c>
      <c r="I175" s="1">
        <v>8500</v>
      </c>
      <c r="J175" s="1">
        <v>42500</v>
      </c>
      <c r="K175" s="1">
        <v>30600</v>
      </c>
      <c r="L175" s="1">
        <v>11900</v>
      </c>
    </row>
    <row r="176" spans="1:12" x14ac:dyDescent="0.3">
      <c r="A176" t="s">
        <v>221</v>
      </c>
      <c r="B176" s="3">
        <v>46149</v>
      </c>
      <c r="C176" t="s">
        <v>47</v>
      </c>
      <c r="D176" t="s">
        <v>20</v>
      </c>
      <c r="E176" t="s">
        <v>23</v>
      </c>
      <c r="F176" t="s">
        <v>560</v>
      </c>
      <c r="G176" t="s">
        <v>561</v>
      </c>
      <c r="H176" s="2">
        <v>2</v>
      </c>
      <c r="I176" s="1">
        <v>400</v>
      </c>
      <c r="J176" s="1">
        <v>800</v>
      </c>
      <c r="K176" s="1">
        <v>440.00000000000006</v>
      </c>
      <c r="L176" s="1">
        <v>359.99999999999994</v>
      </c>
    </row>
    <row r="177" spans="1:12" x14ac:dyDescent="0.3">
      <c r="A177" t="s">
        <v>222</v>
      </c>
      <c r="B177" s="3">
        <v>46150</v>
      </c>
      <c r="C177" t="s">
        <v>50</v>
      </c>
      <c r="D177" t="s">
        <v>21</v>
      </c>
      <c r="E177" t="s">
        <v>24</v>
      </c>
      <c r="F177" t="s">
        <v>27</v>
      </c>
      <c r="G177" t="s">
        <v>29</v>
      </c>
      <c r="H177" s="2">
        <v>1</v>
      </c>
      <c r="I177" s="1">
        <v>4500</v>
      </c>
      <c r="J177" s="1">
        <v>4500</v>
      </c>
      <c r="K177" s="1">
        <v>3240</v>
      </c>
      <c r="L177" s="1">
        <v>1260</v>
      </c>
    </row>
    <row r="178" spans="1:12" x14ac:dyDescent="0.3">
      <c r="A178" t="s">
        <v>223</v>
      </c>
      <c r="B178" s="3">
        <v>46151</v>
      </c>
      <c r="C178" t="s">
        <v>44</v>
      </c>
      <c r="D178" t="s">
        <v>21</v>
      </c>
      <c r="E178" t="s">
        <v>562</v>
      </c>
      <c r="F178" t="s">
        <v>28</v>
      </c>
      <c r="G178" t="s">
        <v>58</v>
      </c>
      <c r="H178" s="2">
        <v>8</v>
      </c>
      <c r="I178" s="1">
        <v>900</v>
      </c>
      <c r="J178" s="1">
        <v>7200</v>
      </c>
      <c r="K178" s="1">
        <v>5904</v>
      </c>
      <c r="L178" s="1">
        <v>1296</v>
      </c>
    </row>
    <row r="179" spans="1:12" x14ac:dyDescent="0.3">
      <c r="A179" t="s">
        <v>224</v>
      </c>
      <c r="B179" s="3">
        <v>46152</v>
      </c>
      <c r="C179" t="s">
        <v>46</v>
      </c>
      <c r="D179" t="s">
        <v>20</v>
      </c>
      <c r="E179" t="s">
        <v>23</v>
      </c>
      <c r="F179" t="s">
        <v>560</v>
      </c>
      <c r="G179" t="s">
        <v>584</v>
      </c>
      <c r="H179" s="2">
        <v>7</v>
      </c>
      <c r="I179" s="1">
        <v>250</v>
      </c>
      <c r="J179" s="1">
        <v>1750</v>
      </c>
      <c r="K179" s="1">
        <v>962.50000000000011</v>
      </c>
      <c r="L179" s="1">
        <v>787.49999999999989</v>
      </c>
    </row>
    <row r="180" spans="1:12" x14ac:dyDescent="0.3">
      <c r="A180" t="s">
        <v>225</v>
      </c>
      <c r="B180" s="3">
        <v>46152</v>
      </c>
      <c r="C180" t="s">
        <v>46</v>
      </c>
      <c r="D180" t="s">
        <v>21</v>
      </c>
      <c r="E180" t="s">
        <v>24</v>
      </c>
      <c r="F180" t="s">
        <v>28</v>
      </c>
      <c r="G180" t="s">
        <v>58</v>
      </c>
      <c r="H180" s="2">
        <v>4</v>
      </c>
      <c r="I180" s="1">
        <v>900</v>
      </c>
      <c r="J180" s="1">
        <v>3600</v>
      </c>
      <c r="K180" s="1">
        <v>2952</v>
      </c>
      <c r="L180" s="1">
        <v>648</v>
      </c>
    </row>
    <row r="181" spans="1:12" x14ac:dyDescent="0.3">
      <c r="A181" t="s">
        <v>226</v>
      </c>
      <c r="B181" s="3">
        <v>46153</v>
      </c>
      <c r="C181" t="s">
        <v>17</v>
      </c>
      <c r="D181" t="s">
        <v>21</v>
      </c>
      <c r="E181" t="s">
        <v>562</v>
      </c>
      <c r="F181" t="s">
        <v>553</v>
      </c>
      <c r="G181" t="s">
        <v>570</v>
      </c>
      <c r="H181" s="2">
        <v>7</v>
      </c>
      <c r="I181" s="1">
        <v>15000</v>
      </c>
      <c r="J181" s="1">
        <v>105000</v>
      </c>
      <c r="K181" s="1">
        <v>68250</v>
      </c>
      <c r="L181" s="1">
        <v>36750</v>
      </c>
    </row>
    <row r="182" spans="1:12" x14ac:dyDescent="0.3">
      <c r="A182" t="s">
        <v>227</v>
      </c>
      <c r="B182" s="3">
        <v>46154</v>
      </c>
      <c r="C182" t="s">
        <v>18</v>
      </c>
      <c r="D182" t="s">
        <v>565</v>
      </c>
      <c r="E182" t="s">
        <v>571</v>
      </c>
      <c r="F182" t="s">
        <v>28</v>
      </c>
      <c r="G182" t="s">
        <v>60</v>
      </c>
      <c r="H182" s="2">
        <v>3</v>
      </c>
      <c r="I182" s="1">
        <v>2500</v>
      </c>
      <c r="J182" s="1">
        <v>7500</v>
      </c>
      <c r="K182" s="1">
        <v>6150</v>
      </c>
      <c r="L182" s="1">
        <v>1350</v>
      </c>
    </row>
    <row r="183" spans="1:12" x14ac:dyDescent="0.3">
      <c r="A183" t="s">
        <v>228</v>
      </c>
      <c r="B183" s="3">
        <v>46155</v>
      </c>
      <c r="C183" t="s">
        <v>18</v>
      </c>
      <c r="D183" t="s">
        <v>565</v>
      </c>
      <c r="E183" t="s">
        <v>568</v>
      </c>
      <c r="F183" t="s">
        <v>27</v>
      </c>
      <c r="G183" t="s">
        <v>29</v>
      </c>
      <c r="H183" s="2">
        <v>3</v>
      </c>
      <c r="I183" s="1">
        <v>4500</v>
      </c>
      <c r="J183" s="1">
        <v>13500</v>
      </c>
      <c r="K183" s="1">
        <v>9720</v>
      </c>
      <c r="L183" s="1">
        <v>3780</v>
      </c>
    </row>
    <row r="184" spans="1:12" x14ac:dyDescent="0.3">
      <c r="A184" t="s">
        <v>229</v>
      </c>
      <c r="B184" s="3">
        <v>46155</v>
      </c>
      <c r="C184" t="s">
        <v>48</v>
      </c>
      <c r="D184" t="s">
        <v>20</v>
      </c>
      <c r="E184" t="s">
        <v>55</v>
      </c>
      <c r="F184" t="s">
        <v>553</v>
      </c>
      <c r="G184" t="s">
        <v>554</v>
      </c>
      <c r="H184" s="2">
        <v>8</v>
      </c>
      <c r="I184" s="1">
        <v>300</v>
      </c>
      <c r="J184" s="1">
        <v>2400</v>
      </c>
      <c r="K184" s="1">
        <v>1560</v>
      </c>
      <c r="L184" s="1">
        <v>840</v>
      </c>
    </row>
    <row r="185" spans="1:12" x14ac:dyDescent="0.3">
      <c r="A185" t="s">
        <v>230</v>
      </c>
      <c r="B185" s="3">
        <v>46156</v>
      </c>
      <c r="C185" t="s">
        <v>17</v>
      </c>
      <c r="D185" t="s">
        <v>21</v>
      </c>
      <c r="E185" t="s">
        <v>562</v>
      </c>
      <c r="F185" t="s">
        <v>551</v>
      </c>
      <c r="G185" t="s">
        <v>580</v>
      </c>
      <c r="H185" s="2">
        <v>2</v>
      </c>
      <c r="I185" s="1">
        <v>1800</v>
      </c>
      <c r="J185" s="1">
        <v>3600</v>
      </c>
      <c r="K185" s="1">
        <v>2160</v>
      </c>
      <c r="L185" s="1">
        <v>1440</v>
      </c>
    </row>
    <row r="186" spans="1:12" x14ac:dyDescent="0.3">
      <c r="A186" t="s">
        <v>231</v>
      </c>
      <c r="B186" s="3">
        <v>46157</v>
      </c>
      <c r="C186" t="s">
        <v>49</v>
      </c>
      <c r="D186" t="s">
        <v>22</v>
      </c>
      <c r="E186" t="s">
        <v>569</v>
      </c>
      <c r="F186" t="s">
        <v>548</v>
      </c>
      <c r="G186" t="s">
        <v>574</v>
      </c>
      <c r="H186" s="2">
        <v>2</v>
      </c>
      <c r="I186" s="1">
        <v>35000</v>
      </c>
      <c r="J186" s="1">
        <v>70000</v>
      </c>
      <c r="K186" s="1">
        <v>54600</v>
      </c>
      <c r="L186" s="1">
        <v>15400</v>
      </c>
    </row>
    <row r="187" spans="1:12" x14ac:dyDescent="0.3">
      <c r="A187" t="s">
        <v>232</v>
      </c>
      <c r="B187" s="3">
        <v>46157</v>
      </c>
      <c r="C187" t="s">
        <v>50</v>
      </c>
      <c r="D187" t="s">
        <v>21</v>
      </c>
      <c r="E187" t="s">
        <v>25</v>
      </c>
      <c r="F187" t="s">
        <v>548</v>
      </c>
      <c r="G187" t="s">
        <v>574</v>
      </c>
      <c r="H187" s="2">
        <v>7</v>
      </c>
      <c r="I187" s="1">
        <v>35000</v>
      </c>
      <c r="J187" s="1">
        <v>245000</v>
      </c>
      <c r="K187" s="1">
        <v>191100</v>
      </c>
      <c r="L187" s="1">
        <v>53900</v>
      </c>
    </row>
    <row r="188" spans="1:12" x14ac:dyDescent="0.3">
      <c r="A188" t="s">
        <v>233</v>
      </c>
      <c r="B188" s="3">
        <v>46158</v>
      </c>
      <c r="C188" t="s">
        <v>555</v>
      </c>
      <c r="D188" t="s">
        <v>565</v>
      </c>
      <c r="E188" t="s">
        <v>571</v>
      </c>
      <c r="F188" t="s">
        <v>27</v>
      </c>
      <c r="G188" t="s">
        <v>61</v>
      </c>
      <c r="H188" s="2">
        <v>3</v>
      </c>
      <c r="I188" s="1">
        <v>28000</v>
      </c>
      <c r="J188" s="1">
        <v>84000</v>
      </c>
      <c r="K188" s="1">
        <v>60480</v>
      </c>
      <c r="L188" s="1">
        <v>23520</v>
      </c>
    </row>
    <row r="189" spans="1:12" x14ac:dyDescent="0.3">
      <c r="A189" t="s">
        <v>234</v>
      </c>
      <c r="B189" s="3">
        <v>46159</v>
      </c>
      <c r="C189" t="s">
        <v>18</v>
      </c>
      <c r="D189" t="s">
        <v>20</v>
      </c>
      <c r="E189" t="s">
        <v>55</v>
      </c>
      <c r="F189" t="s">
        <v>560</v>
      </c>
      <c r="G189" t="s">
        <v>561</v>
      </c>
      <c r="H189" s="2">
        <v>2</v>
      </c>
      <c r="I189" s="1">
        <v>400</v>
      </c>
      <c r="J189" s="1">
        <v>800</v>
      </c>
      <c r="K189" s="1">
        <v>440.00000000000006</v>
      </c>
      <c r="L189" s="1">
        <v>359.99999999999994</v>
      </c>
    </row>
    <row r="190" spans="1:12" x14ac:dyDescent="0.3">
      <c r="A190" t="s">
        <v>235</v>
      </c>
      <c r="B190" s="3">
        <v>46160</v>
      </c>
      <c r="C190" t="s">
        <v>17</v>
      </c>
      <c r="D190" t="s">
        <v>21</v>
      </c>
      <c r="E190" t="s">
        <v>562</v>
      </c>
      <c r="F190" t="s">
        <v>27</v>
      </c>
      <c r="G190" t="s">
        <v>61</v>
      </c>
      <c r="H190" s="2">
        <v>3</v>
      </c>
      <c r="I190" s="1">
        <v>28000</v>
      </c>
      <c r="J190" s="1">
        <v>84000</v>
      </c>
      <c r="K190" s="1">
        <v>60480</v>
      </c>
      <c r="L190" s="1">
        <v>23520</v>
      </c>
    </row>
    <row r="191" spans="1:12" x14ac:dyDescent="0.3">
      <c r="A191" t="s">
        <v>236</v>
      </c>
      <c r="B191" s="3">
        <v>46160</v>
      </c>
      <c r="C191" t="s">
        <v>18</v>
      </c>
      <c r="D191" t="s">
        <v>20</v>
      </c>
      <c r="E191" t="s">
        <v>550</v>
      </c>
      <c r="F191" t="s">
        <v>28</v>
      </c>
      <c r="G191" t="s">
        <v>56</v>
      </c>
      <c r="H191" s="2">
        <v>2</v>
      </c>
      <c r="I191" s="1">
        <v>55000</v>
      </c>
      <c r="J191" s="1">
        <v>110000</v>
      </c>
      <c r="K191" s="1">
        <v>90200</v>
      </c>
      <c r="L191" s="1">
        <v>19800</v>
      </c>
    </row>
    <row r="192" spans="1:12" x14ac:dyDescent="0.3">
      <c r="A192" t="s">
        <v>237</v>
      </c>
      <c r="B192" s="3">
        <v>46161</v>
      </c>
      <c r="C192" t="s">
        <v>573</v>
      </c>
      <c r="D192" t="s">
        <v>21</v>
      </c>
      <c r="E192" t="s">
        <v>562</v>
      </c>
      <c r="F192" t="s">
        <v>553</v>
      </c>
      <c r="G192" t="s">
        <v>554</v>
      </c>
      <c r="H192" s="2">
        <v>8</v>
      </c>
      <c r="I192" s="1">
        <v>300</v>
      </c>
      <c r="J192" s="1">
        <v>2400</v>
      </c>
      <c r="K192" s="1">
        <v>1560</v>
      </c>
      <c r="L192" s="1">
        <v>840</v>
      </c>
    </row>
    <row r="193" spans="1:12" x14ac:dyDescent="0.3">
      <c r="A193" t="s">
        <v>238</v>
      </c>
      <c r="B193" s="3">
        <v>46162</v>
      </c>
      <c r="C193" t="s">
        <v>47</v>
      </c>
      <c r="D193" t="s">
        <v>20</v>
      </c>
      <c r="E193" t="s">
        <v>550</v>
      </c>
      <c r="F193" t="s">
        <v>560</v>
      </c>
      <c r="G193" t="s">
        <v>567</v>
      </c>
      <c r="H193" s="2">
        <v>8</v>
      </c>
      <c r="I193" s="1">
        <v>300</v>
      </c>
      <c r="J193" s="1">
        <v>2400</v>
      </c>
      <c r="K193" s="1">
        <v>1320</v>
      </c>
      <c r="L193" s="1">
        <v>1080</v>
      </c>
    </row>
    <row r="194" spans="1:12" x14ac:dyDescent="0.3">
      <c r="A194" t="s">
        <v>239</v>
      </c>
      <c r="B194" s="3">
        <v>46163</v>
      </c>
      <c r="C194" t="s">
        <v>43</v>
      </c>
      <c r="D194" t="s">
        <v>22</v>
      </c>
      <c r="E194" t="s">
        <v>54</v>
      </c>
      <c r="F194" t="s">
        <v>548</v>
      </c>
      <c r="G194" t="s">
        <v>586</v>
      </c>
      <c r="H194" s="2">
        <v>3</v>
      </c>
      <c r="I194" s="1">
        <v>18000</v>
      </c>
      <c r="J194" s="1">
        <v>54000</v>
      </c>
      <c r="K194" s="1">
        <v>42120</v>
      </c>
      <c r="L194" s="1">
        <v>11880</v>
      </c>
    </row>
    <row r="195" spans="1:12" x14ac:dyDescent="0.3">
      <c r="A195" t="s">
        <v>240</v>
      </c>
      <c r="B195" s="3">
        <v>46163</v>
      </c>
      <c r="C195" t="s">
        <v>47</v>
      </c>
      <c r="D195" t="s">
        <v>22</v>
      </c>
      <c r="E195" t="s">
        <v>54</v>
      </c>
      <c r="F195" t="s">
        <v>548</v>
      </c>
      <c r="G195" t="s">
        <v>578</v>
      </c>
      <c r="H195" s="2">
        <v>4</v>
      </c>
      <c r="I195" s="1">
        <v>12000</v>
      </c>
      <c r="J195" s="1">
        <v>48000</v>
      </c>
      <c r="K195" s="1">
        <v>37440</v>
      </c>
      <c r="L195" s="1">
        <v>10560</v>
      </c>
    </row>
    <row r="196" spans="1:12" x14ac:dyDescent="0.3">
      <c r="A196" t="s">
        <v>241</v>
      </c>
      <c r="B196" s="3">
        <v>46164</v>
      </c>
      <c r="C196" t="s">
        <v>587</v>
      </c>
      <c r="D196" t="s">
        <v>22</v>
      </c>
      <c r="E196" t="s">
        <v>26</v>
      </c>
      <c r="F196" t="s">
        <v>551</v>
      </c>
      <c r="G196" t="s">
        <v>558</v>
      </c>
      <c r="H196" s="2">
        <v>2</v>
      </c>
      <c r="I196" s="1">
        <v>1500</v>
      </c>
      <c r="J196" s="1">
        <v>3000</v>
      </c>
      <c r="K196" s="1">
        <v>1800</v>
      </c>
      <c r="L196" s="1">
        <v>1200</v>
      </c>
    </row>
    <row r="197" spans="1:12" x14ac:dyDescent="0.3">
      <c r="A197" t="s">
        <v>242</v>
      </c>
      <c r="B197" s="3">
        <v>46165</v>
      </c>
      <c r="C197" t="s">
        <v>48</v>
      </c>
      <c r="D197" t="s">
        <v>22</v>
      </c>
      <c r="E197" t="s">
        <v>26</v>
      </c>
      <c r="F197" t="s">
        <v>551</v>
      </c>
      <c r="G197" t="s">
        <v>585</v>
      </c>
      <c r="H197" s="2">
        <v>5</v>
      </c>
      <c r="I197" s="1">
        <v>500</v>
      </c>
      <c r="J197" s="1">
        <v>2500</v>
      </c>
      <c r="K197" s="1">
        <v>1500</v>
      </c>
      <c r="L197" s="1">
        <v>1000</v>
      </c>
    </row>
    <row r="198" spans="1:12" x14ac:dyDescent="0.3">
      <c r="A198" t="s">
        <v>243</v>
      </c>
      <c r="B198" s="3">
        <v>46165</v>
      </c>
      <c r="C198" t="s">
        <v>17</v>
      </c>
      <c r="D198" t="s">
        <v>565</v>
      </c>
      <c r="E198" t="s">
        <v>566</v>
      </c>
      <c r="F198" t="s">
        <v>27</v>
      </c>
      <c r="G198" t="s">
        <v>59</v>
      </c>
      <c r="H198" s="2">
        <v>7</v>
      </c>
      <c r="I198" s="1">
        <v>6500</v>
      </c>
      <c r="J198" s="1">
        <v>45500</v>
      </c>
      <c r="K198" s="1">
        <v>32760</v>
      </c>
      <c r="L198" s="1">
        <v>12740</v>
      </c>
    </row>
    <row r="199" spans="1:12" x14ac:dyDescent="0.3">
      <c r="A199" t="s">
        <v>244</v>
      </c>
      <c r="B199" s="3">
        <v>46166</v>
      </c>
      <c r="C199" t="s">
        <v>19</v>
      </c>
      <c r="D199" t="s">
        <v>565</v>
      </c>
      <c r="E199" t="s">
        <v>566</v>
      </c>
      <c r="F199" t="s">
        <v>560</v>
      </c>
      <c r="G199" t="s">
        <v>584</v>
      </c>
      <c r="H199" s="2">
        <v>2</v>
      </c>
      <c r="I199" s="1">
        <v>250</v>
      </c>
      <c r="J199" s="1">
        <v>500</v>
      </c>
      <c r="K199" s="1">
        <v>275</v>
      </c>
      <c r="L199" s="1">
        <v>225</v>
      </c>
    </row>
    <row r="200" spans="1:12" x14ac:dyDescent="0.3">
      <c r="A200" t="s">
        <v>245</v>
      </c>
      <c r="B200" s="3">
        <v>46167</v>
      </c>
      <c r="C200" t="s">
        <v>48</v>
      </c>
      <c r="D200" t="s">
        <v>20</v>
      </c>
      <c r="E200" t="s">
        <v>550</v>
      </c>
      <c r="F200" t="s">
        <v>560</v>
      </c>
      <c r="G200" t="s">
        <v>567</v>
      </c>
      <c r="H200" s="2">
        <v>4</v>
      </c>
      <c r="I200" s="1">
        <v>300</v>
      </c>
      <c r="J200" s="1">
        <v>1200</v>
      </c>
      <c r="K200" s="1">
        <v>660</v>
      </c>
      <c r="L200" s="1">
        <v>540</v>
      </c>
    </row>
    <row r="201" spans="1:12" x14ac:dyDescent="0.3">
      <c r="A201" t="s">
        <v>246</v>
      </c>
      <c r="B201" s="3">
        <v>46168</v>
      </c>
      <c r="C201" t="s">
        <v>49</v>
      </c>
      <c r="D201" t="s">
        <v>21</v>
      </c>
      <c r="E201" t="s">
        <v>24</v>
      </c>
      <c r="F201" t="s">
        <v>553</v>
      </c>
      <c r="G201" t="s">
        <v>577</v>
      </c>
      <c r="H201" s="2">
        <v>5</v>
      </c>
      <c r="I201" s="1">
        <v>250</v>
      </c>
      <c r="J201" s="1">
        <v>1250</v>
      </c>
      <c r="K201" s="1">
        <v>812.5</v>
      </c>
      <c r="L201" s="1">
        <v>437.5</v>
      </c>
    </row>
    <row r="202" spans="1:12" x14ac:dyDescent="0.3">
      <c r="A202" t="s">
        <v>247</v>
      </c>
      <c r="B202" s="3">
        <v>46168</v>
      </c>
      <c r="C202" t="s">
        <v>573</v>
      </c>
      <c r="D202" t="s">
        <v>20</v>
      </c>
      <c r="E202" t="s">
        <v>23</v>
      </c>
      <c r="F202" t="s">
        <v>548</v>
      </c>
      <c r="G202" t="s">
        <v>572</v>
      </c>
      <c r="H202" s="2">
        <v>3</v>
      </c>
      <c r="I202" s="1">
        <v>8000</v>
      </c>
      <c r="J202" s="1">
        <v>24000</v>
      </c>
      <c r="K202" s="1">
        <v>18720</v>
      </c>
      <c r="L202" s="1">
        <v>5280</v>
      </c>
    </row>
    <row r="203" spans="1:12" x14ac:dyDescent="0.3">
      <c r="A203" t="s">
        <v>248</v>
      </c>
      <c r="B203" s="3">
        <v>46169</v>
      </c>
      <c r="C203" t="s">
        <v>19</v>
      </c>
      <c r="D203" t="s">
        <v>20</v>
      </c>
      <c r="E203" t="s">
        <v>55</v>
      </c>
      <c r="F203" t="s">
        <v>28</v>
      </c>
      <c r="G203" t="s">
        <v>30</v>
      </c>
      <c r="H203" s="2">
        <v>4</v>
      </c>
      <c r="I203" s="1">
        <v>12000</v>
      </c>
      <c r="J203" s="1">
        <v>48000</v>
      </c>
      <c r="K203" s="1">
        <v>39360</v>
      </c>
      <c r="L203" s="1">
        <v>8640</v>
      </c>
    </row>
    <row r="204" spans="1:12" x14ac:dyDescent="0.3">
      <c r="A204" t="s">
        <v>249</v>
      </c>
      <c r="B204" s="3">
        <v>46170</v>
      </c>
      <c r="C204" t="s">
        <v>44</v>
      </c>
      <c r="D204" t="s">
        <v>565</v>
      </c>
      <c r="E204" t="s">
        <v>566</v>
      </c>
      <c r="F204" t="s">
        <v>548</v>
      </c>
      <c r="G204" t="s">
        <v>574</v>
      </c>
      <c r="H204" s="2">
        <v>8</v>
      </c>
      <c r="I204" s="1">
        <v>35000</v>
      </c>
      <c r="J204" s="1">
        <v>280000</v>
      </c>
      <c r="K204" s="1">
        <v>218400</v>
      </c>
      <c r="L204" s="1">
        <v>61600</v>
      </c>
    </row>
    <row r="205" spans="1:12" x14ac:dyDescent="0.3">
      <c r="A205" t="s">
        <v>250</v>
      </c>
      <c r="B205" s="3">
        <v>46171</v>
      </c>
      <c r="C205" t="s">
        <v>18</v>
      </c>
      <c r="D205" t="s">
        <v>565</v>
      </c>
      <c r="E205" t="s">
        <v>582</v>
      </c>
      <c r="F205" t="s">
        <v>27</v>
      </c>
      <c r="G205" t="s">
        <v>29</v>
      </c>
      <c r="H205" s="2">
        <v>7</v>
      </c>
      <c r="I205" s="1">
        <v>4500</v>
      </c>
      <c r="J205" s="1">
        <v>31500</v>
      </c>
      <c r="K205" s="1">
        <v>22680</v>
      </c>
      <c r="L205" s="1">
        <v>8820</v>
      </c>
    </row>
    <row r="206" spans="1:12" x14ac:dyDescent="0.3">
      <c r="A206" t="s">
        <v>251</v>
      </c>
      <c r="B206" s="3">
        <v>46171</v>
      </c>
      <c r="C206" t="s">
        <v>573</v>
      </c>
      <c r="D206" t="s">
        <v>565</v>
      </c>
      <c r="E206" t="s">
        <v>582</v>
      </c>
      <c r="F206" t="s">
        <v>28</v>
      </c>
      <c r="G206" t="s">
        <v>32</v>
      </c>
      <c r="H206" s="2">
        <v>6</v>
      </c>
      <c r="I206" s="1">
        <v>1800</v>
      </c>
      <c r="J206" s="1">
        <v>10800</v>
      </c>
      <c r="K206" s="1">
        <v>8856</v>
      </c>
      <c r="L206" s="1">
        <v>1944</v>
      </c>
    </row>
    <row r="207" spans="1:12" x14ac:dyDescent="0.3">
      <c r="A207" t="s">
        <v>252</v>
      </c>
      <c r="B207" s="3">
        <v>46172</v>
      </c>
      <c r="C207" t="s">
        <v>17</v>
      </c>
      <c r="D207" t="s">
        <v>21</v>
      </c>
      <c r="E207" t="s">
        <v>562</v>
      </c>
      <c r="F207" t="s">
        <v>553</v>
      </c>
      <c r="G207" t="s">
        <v>554</v>
      </c>
      <c r="H207" s="2">
        <v>2</v>
      </c>
      <c r="I207" s="1">
        <v>300</v>
      </c>
      <c r="J207" s="1">
        <v>600</v>
      </c>
      <c r="K207" s="1">
        <v>390</v>
      </c>
      <c r="L207" s="1">
        <v>210</v>
      </c>
    </row>
    <row r="208" spans="1:12" x14ac:dyDescent="0.3">
      <c r="A208" t="s">
        <v>253</v>
      </c>
      <c r="B208" s="3">
        <v>46173</v>
      </c>
      <c r="C208" t="s">
        <v>19</v>
      </c>
      <c r="D208" t="s">
        <v>20</v>
      </c>
      <c r="E208" t="s">
        <v>55</v>
      </c>
      <c r="F208" t="s">
        <v>28</v>
      </c>
      <c r="G208" t="s">
        <v>32</v>
      </c>
      <c r="H208" s="2">
        <v>5</v>
      </c>
      <c r="I208" s="1">
        <v>1800</v>
      </c>
      <c r="J208" s="1">
        <v>9000</v>
      </c>
      <c r="K208" s="1">
        <v>7380</v>
      </c>
      <c r="L208" s="1">
        <v>1620</v>
      </c>
    </row>
    <row r="209" spans="1:12" x14ac:dyDescent="0.3">
      <c r="A209" t="s">
        <v>254</v>
      </c>
      <c r="B209" s="3">
        <v>46173</v>
      </c>
      <c r="C209" t="s">
        <v>587</v>
      </c>
      <c r="D209" t="s">
        <v>565</v>
      </c>
      <c r="E209" t="s">
        <v>566</v>
      </c>
      <c r="F209" t="s">
        <v>553</v>
      </c>
      <c r="G209" t="s">
        <v>557</v>
      </c>
      <c r="H209" s="2">
        <v>8</v>
      </c>
      <c r="I209" s="1">
        <v>600</v>
      </c>
      <c r="J209" s="1">
        <v>4800</v>
      </c>
      <c r="K209" s="1">
        <v>3120</v>
      </c>
      <c r="L209" s="1">
        <v>1680</v>
      </c>
    </row>
    <row r="210" spans="1:12" x14ac:dyDescent="0.3">
      <c r="A210" t="s">
        <v>255</v>
      </c>
      <c r="B210" s="3">
        <v>46174</v>
      </c>
      <c r="C210" t="s">
        <v>45</v>
      </c>
      <c r="D210" t="s">
        <v>21</v>
      </c>
      <c r="E210" t="s">
        <v>24</v>
      </c>
      <c r="F210" t="s">
        <v>28</v>
      </c>
      <c r="G210" t="s">
        <v>32</v>
      </c>
      <c r="H210" s="2">
        <v>4</v>
      </c>
      <c r="I210" s="1">
        <v>1800</v>
      </c>
      <c r="J210" s="1">
        <v>7200</v>
      </c>
      <c r="K210" s="1">
        <v>5904</v>
      </c>
      <c r="L210" s="1">
        <v>1296</v>
      </c>
    </row>
    <row r="211" spans="1:12" x14ac:dyDescent="0.3">
      <c r="A211" t="s">
        <v>256</v>
      </c>
      <c r="B211" s="3">
        <v>46175</v>
      </c>
      <c r="C211" t="s">
        <v>47</v>
      </c>
      <c r="D211" t="s">
        <v>22</v>
      </c>
      <c r="E211" t="s">
        <v>569</v>
      </c>
      <c r="F211" t="s">
        <v>560</v>
      </c>
      <c r="G211" t="s">
        <v>575</v>
      </c>
      <c r="H211" s="2">
        <v>6</v>
      </c>
      <c r="I211" s="1">
        <v>200</v>
      </c>
      <c r="J211" s="1">
        <v>1200</v>
      </c>
      <c r="K211" s="1">
        <v>660</v>
      </c>
      <c r="L211" s="1">
        <v>540</v>
      </c>
    </row>
    <row r="212" spans="1:12" x14ac:dyDescent="0.3">
      <c r="A212" t="s">
        <v>257</v>
      </c>
      <c r="B212" s="3">
        <v>46176</v>
      </c>
      <c r="C212" t="s">
        <v>587</v>
      </c>
      <c r="D212" t="s">
        <v>20</v>
      </c>
      <c r="E212" t="s">
        <v>55</v>
      </c>
      <c r="F212" t="s">
        <v>548</v>
      </c>
      <c r="G212" t="s">
        <v>572</v>
      </c>
      <c r="H212" s="2">
        <v>6</v>
      </c>
      <c r="I212" s="1">
        <v>8000</v>
      </c>
      <c r="J212" s="1">
        <v>48000</v>
      </c>
      <c r="K212" s="1">
        <v>37440</v>
      </c>
      <c r="L212" s="1">
        <v>10560</v>
      </c>
    </row>
    <row r="213" spans="1:12" x14ac:dyDescent="0.3">
      <c r="A213" t="s">
        <v>258</v>
      </c>
      <c r="B213" s="3">
        <v>46176</v>
      </c>
      <c r="C213" t="s">
        <v>45</v>
      </c>
      <c r="D213" t="s">
        <v>565</v>
      </c>
      <c r="E213" t="s">
        <v>571</v>
      </c>
      <c r="F213" t="s">
        <v>28</v>
      </c>
      <c r="G213" t="s">
        <v>60</v>
      </c>
      <c r="H213" s="2">
        <v>8</v>
      </c>
      <c r="I213" s="1">
        <v>2500</v>
      </c>
      <c r="J213" s="1">
        <v>20000</v>
      </c>
      <c r="K213" s="1">
        <v>16400</v>
      </c>
      <c r="L213" s="1">
        <v>3600</v>
      </c>
    </row>
    <row r="214" spans="1:12" x14ac:dyDescent="0.3">
      <c r="A214" t="s">
        <v>259</v>
      </c>
      <c r="B214" s="3">
        <v>46177</v>
      </c>
      <c r="C214" t="s">
        <v>19</v>
      </c>
      <c r="D214" t="s">
        <v>565</v>
      </c>
      <c r="E214" t="s">
        <v>568</v>
      </c>
      <c r="F214" t="s">
        <v>27</v>
      </c>
      <c r="G214" t="s">
        <v>31</v>
      </c>
      <c r="H214" s="2">
        <v>3</v>
      </c>
      <c r="I214" s="1">
        <v>7500</v>
      </c>
      <c r="J214" s="1">
        <v>22500</v>
      </c>
      <c r="K214" s="1">
        <v>16200</v>
      </c>
      <c r="L214" s="1">
        <v>6300</v>
      </c>
    </row>
    <row r="215" spans="1:12" x14ac:dyDescent="0.3">
      <c r="A215" t="s">
        <v>260</v>
      </c>
      <c r="B215" s="3">
        <v>46178</v>
      </c>
      <c r="C215" t="s">
        <v>576</v>
      </c>
      <c r="D215" t="s">
        <v>22</v>
      </c>
      <c r="E215" t="s">
        <v>569</v>
      </c>
      <c r="F215" t="s">
        <v>27</v>
      </c>
      <c r="G215" t="s">
        <v>61</v>
      </c>
      <c r="H215" s="2">
        <v>8</v>
      </c>
      <c r="I215" s="1">
        <v>28000</v>
      </c>
      <c r="J215" s="1">
        <v>224000</v>
      </c>
      <c r="K215" s="1">
        <v>161280</v>
      </c>
      <c r="L215" s="1">
        <v>62720</v>
      </c>
    </row>
    <row r="216" spans="1:12" x14ac:dyDescent="0.3">
      <c r="A216" t="s">
        <v>261</v>
      </c>
      <c r="B216" s="3">
        <v>46179</v>
      </c>
      <c r="C216" t="s">
        <v>587</v>
      </c>
      <c r="D216" t="s">
        <v>565</v>
      </c>
      <c r="E216" t="s">
        <v>566</v>
      </c>
      <c r="F216" t="s">
        <v>548</v>
      </c>
      <c r="G216" t="s">
        <v>586</v>
      </c>
      <c r="H216" s="2">
        <v>3</v>
      </c>
      <c r="I216" s="1">
        <v>18000</v>
      </c>
      <c r="J216" s="1">
        <v>54000</v>
      </c>
      <c r="K216" s="1">
        <v>42120</v>
      </c>
      <c r="L216" s="1">
        <v>11880</v>
      </c>
    </row>
    <row r="217" spans="1:12" x14ac:dyDescent="0.3">
      <c r="A217" t="s">
        <v>262</v>
      </c>
      <c r="B217" s="3">
        <v>46179</v>
      </c>
      <c r="C217" t="s">
        <v>45</v>
      </c>
      <c r="D217" t="s">
        <v>22</v>
      </c>
      <c r="E217" t="s">
        <v>54</v>
      </c>
      <c r="F217" t="s">
        <v>560</v>
      </c>
      <c r="G217" t="s">
        <v>561</v>
      </c>
      <c r="H217" s="2">
        <v>8</v>
      </c>
      <c r="I217" s="1">
        <v>400</v>
      </c>
      <c r="J217" s="1">
        <v>3200</v>
      </c>
      <c r="K217" s="1">
        <v>1760.0000000000002</v>
      </c>
      <c r="L217" s="1">
        <v>1439.9999999999998</v>
      </c>
    </row>
    <row r="218" spans="1:12" x14ac:dyDescent="0.3">
      <c r="A218" t="s">
        <v>263</v>
      </c>
      <c r="B218" s="3">
        <v>46180</v>
      </c>
      <c r="C218" t="s">
        <v>587</v>
      </c>
      <c r="D218" t="s">
        <v>22</v>
      </c>
      <c r="E218" t="s">
        <v>26</v>
      </c>
      <c r="F218" t="s">
        <v>553</v>
      </c>
      <c r="G218" t="s">
        <v>557</v>
      </c>
      <c r="H218" s="2">
        <v>4</v>
      </c>
      <c r="I218" s="1">
        <v>600</v>
      </c>
      <c r="J218" s="1">
        <v>2400</v>
      </c>
      <c r="K218" s="1">
        <v>1560</v>
      </c>
      <c r="L218" s="1">
        <v>840</v>
      </c>
    </row>
    <row r="219" spans="1:12" x14ac:dyDescent="0.3">
      <c r="A219" t="s">
        <v>264</v>
      </c>
      <c r="B219" s="3">
        <v>46181</v>
      </c>
      <c r="C219" t="s">
        <v>48</v>
      </c>
      <c r="D219" t="s">
        <v>565</v>
      </c>
      <c r="E219" t="s">
        <v>566</v>
      </c>
      <c r="F219" t="s">
        <v>560</v>
      </c>
      <c r="G219" t="s">
        <v>561</v>
      </c>
      <c r="H219" s="2">
        <v>5</v>
      </c>
      <c r="I219" s="1">
        <v>400</v>
      </c>
      <c r="J219" s="1">
        <v>2000</v>
      </c>
      <c r="K219" s="1">
        <v>1100</v>
      </c>
      <c r="L219" s="1">
        <v>900</v>
      </c>
    </row>
    <row r="220" spans="1:12" x14ac:dyDescent="0.3">
      <c r="A220" t="s">
        <v>265</v>
      </c>
      <c r="B220" s="3">
        <v>46182</v>
      </c>
      <c r="C220" t="s">
        <v>45</v>
      </c>
      <c r="D220" t="s">
        <v>20</v>
      </c>
      <c r="E220" t="s">
        <v>23</v>
      </c>
      <c r="F220" t="s">
        <v>551</v>
      </c>
      <c r="G220" t="s">
        <v>580</v>
      </c>
      <c r="H220" s="2">
        <v>8</v>
      </c>
      <c r="I220" s="1">
        <v>1800</v>
      </c>
      <c r="J220" s="1">
        <v>14400</v>
      </c>
      <c r="K220" s="1">
        <v>8640</v>
      </c>
      <c r="L220" s="1">
        <v>5760</v>
      </c>
    </row>
    <row r="221" spans="1:12" x14ac:dyDescent="0.3">
      <c r="A221" t="s">
        <v>266</v>
      </c>
      <c r="B221" s="3">
        <v>46182</v>
      </c>
      <c r="C221" t="s">
        <v>45</v>
      </c>
      <c r="D221" t="s">
        <v>21</v>
      </c>
      <c r="E221" t="s">
        <v>24</v>
      </c>
      <c r="F221" t="s">
        <v>551</v>
      </c>
      <c r="G221" t="s">
        <v>580</v>
      </c>
      <c r="H221" s="2">
        <v>3</v>
      </c>
      <c r="I221" s="1">
        <v>1800</v>
      </c>
      <c r="J221" s="1">
        <v>5400</v>
      </c>
      <c r="K221" s="1">
        <v>3240</v>
      </c>
      <c r="L221" s="1">
        <v>2160</v>
      </c>
    </row>
    <row r="222" spans="1:12" x14ac:dyDescent="0.3">
      <c r="A222" t="s">
        <v>267</v>
      </c>
      <c r="B222" s="3">
        <v>46183</v>
      </c>
      <c r="C222" t="s">
        <v>45</v>
      </c>
      <c r="D222" t="s">
        <v>21</v>
      </c>
      <c r="E222" t="s">
        <v>24</v>
      </c>
      <c r="F222" t="s">
        <v>551</v>
      </c>
      <c r="G222" t="s">
        <v>580</v>
      </c>
      <c r="H222" s="2">
        <v>6</v>
      </c>
      <c r="I222" s="1">
        <v>1800</v>
      </c>
      <c r="J222" s="1">
        <v>10800</v>
      </c>
      <c r="K222" s="1">
        <v>6480</v>
      </c>
      <c r="L222" s="1">
        <v>4320</v>
      </c>
    </row>
    <row r="223" spans="1:12" x14ac:dyDescent="0.3">
      <c r="A223" t="s">
        <v>268</v>
      </c>
      <c r="B223" s="3">
        <v>46184</v>
      </c>
      <c r="C223" t="s">
        <v>44</v>
      </c>
      <c r="D223" t="s">
        <v>21</v>
      </c>
      <c r="E223" t="s">
        <v>562</v>
      </c>
      <c r="F223" t="s">
        <v>553</v>
      </c>
      <c r="G223" t="s">
        <v>563</v>
      </c>
      <c r="H223" s="2">
        <v>8</v>
      </c>
      <c r="I223" s="1">
        <v>500</v>
      </c>
      <c r="J223" s="1">
        <v>4000</v>
      </c>
      <c r="K223" s="1">
        <v>2600</v>
      </c>
      <c r="L223" s="1">
        <v>1400</v>
      </c>
    </row>
    <row r="224" spans="1:12" x14ac:dyDescent="0.3">
      <c r="A224" t="s">
        <v>269</v>
      </c>
      <c r="B224" s="3">
        <v>46184</v>
      </c>
      <c r="C224" t="s">
        <v>547</v>
      </c>
      <c r="D224" t="s">
        <v>22</v>
      </c>
      <c r="E224" t="s">
        <v>556</v>
      </c>
      <c r="F224" t="s">
        <v>27</v>
      </c>
      <c r="G224" t="s">
        <v>57</v>
      </c>
      <c r="H224" s="2">
        <v>3</v>
      </c>
      <c r="I224" s="1">
        <v>8500</v>
      </c>
      <c r="J224" s="1">
        <v>25500</v>
      </c>
      <c r="K224" s="1">
        <v>18360</v>
      </c>
      <c r="L224" s="1">
        <v>7140</v>
      </c>
    </row>
    <row r="225" spans="1:12" x14ac:dyDescent="0.3">
      <c r="A225" t="s">
        <v>270</v>
      </c>
      <c r="B225" s="3">
        <v>46185</v>
      </c>
      <c r="C225" t="s">
        <v>576</v>
      </c>
      <c r="D225" t="s">
        <v>565</v>
      </c>
      <c r="E225" t="s">
        <v>566</v>
      </c>
      <c r="F225" t="s">
        <v>560</v>
      </c>
      <c r="G225" t="s">
        <v>584</v>
      </c>
      <c r="H225" s="2">
        <v>5</v>
      </c>
      <c r="I225" s="1">
        <v>250</v>
      </c>
      <c r="J225" s="1">
        <v>1250</v>
      </c>
      <c r="K225" s="1">
        <v>687.5</v>
      </c>
      <c r="L225" s="1">
        <v>562.5</v>
      </c>
    </row>
    <row r="226" spans="1:12" x14ac:dyDescent="0.3">
      <c r="A226" t="s">
        <v>271</v>
      </c>
      <c r="B226" s="3">
        <v>46186</v>
      </c>
      <c r="C226" t="s">
        <v>583</v>
      </c>
      <c r="D226" t="s">
        <v>565</v>
      </c>
      <c r="E226" t="s">
        <v>571</v>
      </c>
      <c r="F226" t="s">
        <v>27</v>
      </c>
      <c r="G226" t="s">
        <v>57</v>
      </c>
      <c r="H226" s="2">
        <v>2</v>
      </c>
      <c r="I226" s="1">
        <v>8500</v>
      </c>
      <c r="J226" s="1">
        <v>17000</v>
      </c>
      <c r="K226" s="1">
        <v>12240</v>
      </c>
      <c r="L226" s="1">
        <v>4760</v>
      </c>
    </row>
    <row r="227" spans="1:12" x14ac:dyDescent="0.3">
      <c r="A227" t="s">
        <v>272</v>
      </c>
      <c r="B227" s="3">
        <v>46187</v>
      </c>
      <c r="C227" t="s">
        <v>52</v>
      </c>
      <c r="D227" t="s">
        <v>21</v>
      </c>
      <c r="E227" t="s">
        <v>25</v>
      </c>
      <c r="F227" t="s">
        <v>28</v>
      </c>
      <c r="G227" t="s">
        <v>60</v>
      </c>
      <c r="H227" s="2">
        <v>4</v>
      </c>
      <c r="I227" s="1">
        <v>2500</v>
      </c>
      <c r="J227" s="1">
        <v>10000</v>
      </c>
      <c r="K227" s="1">
        <v>8200</v>
      </c>
      <c r="L227" s="1">
        <v>1800</v>
      </c>
    </row>
    <row r="228" spans="1:12" x14ac:dyDescent="0.3">
      <c r="A228" t="s">
        <v>273</v>
      </c>
      <c r="B228" s="3">
        <v>46187</v>
      </c>
      <c r="C228" t="s">
        <v>576</v>
      </c>
      <c r="D228" t="s">
        <v>20</v>
      </c>
      <c r="E228" t="s">
        <v>53</v>
      </c>
      <c r="F228" t="s">
        <v>551</v>
      </c>
      <c r="G228" t="s">
        <v>580</v>
      </c>
      <c r="H228" s="2">
        <v>2</v>
      </c>
      <c r="I228" s="1">
        <v>1800</v>
      </c>
      <c r="J228" s="1">
        <v>3600</v>
      </c>
      <c r="K228" s="1">
        <v>2160</v>
      </c>
      <c r="L228" s="1">
        <v>1440</v>
      </c>
    </row>
    <row r="229" spans="1:12" x14ac:dyDescent="0.3">
      <c r="A229" t="s">
        <v>274</v>
      </c>
      <c r="B229" s="3">
        <v>46188</v>
      </c>
      <c r="C229" t="s">
        <v>46</v>
      </c>
      <c r="D229" t="s">
        <v>20</v>
      </c>
      <c r="E229" t="s">
        <v>550</v>
      </c>
      <c r="F229" t="s">
        <v>548</v>
      </c>
      <c r="G229" t="s">
        <v>586</v>
      </c>
      <c r="H229" s="2">
        <v>3</v>
      </c>
      <c r="I229" s="1">
        <v>18000</v>
      </c>
      <c r="J229" s="1">
        <v>54000</v>
      </c>
      <c r="K229" s="1">
        <v>42120</v>
      </c>
      <c r="L229" s="1">
        <v>11880</v>
      </c>
    </row>
    <row r="230" spans="1:12" x14ac:dyDescent="0.3">
      <c r="A230" t="s">
        <v>275</v>
      </c>
      <c r="B230" s="3">
        <v>46189</v>
      </c>
      <c r="C230" t="s">
        <v>576</v>
      </c>
      <c r="D230" t="s">
        <v>20</v>
      </c>
      <c r="E230" t="s">
        <v>53</v>
      </c>
      <c r="F230" t="s">
        <v>27</v>
      </c>
      <c r="G230" t="s">
        <v>31</v>
      </c>
      <c r="H230" s="2">
        <v>8</v>
      </c>
      <c r="I230" s="1">
        <v>7500</v>
      </c>
      <c r="J230" s="1">
        <v>60000</v>
      </c>
      <c r="K230" s="1">
        <v>43200</v>
      </c>
      <c r="L230" s="1">
        <v>16800</v>
      </c>
    </row>
    <row r="231" spans="1:12" x14ac:dyDescent="0.3">
      <c r="A231" t="s">
        <v>276</v>
      </c>
      <c r="B231" s="3">
        <v>46190</v>
      </c>
      <c r="C231" t="s">
        <v>564</v>
      </c>
      <c r="D231" t="s">
        <v>22</v>
      </c>
      <c r="E231" t="s">
        <v>556</v>
      </c>
      <c r="F231" t="s">
        <v>548</v>
      </c>
      <c r="G231" t="s">
        <v>574</v>
      </c>
      <c r="H231" s="2">
        <v>7</v>
      </c>
      <c r="I231" s="1">
        <v>35000</v>
      </c>
      <c r="J231" s="1">
        <v>245000</v>
      </c>
      <c r="K231" s="1">
        <v>191100</v>
      </c>
      <c r="L231" s="1">
        <v>53900</v>
      </c>
    </row>
    <row r="232" spans="1:12" x14ac:dyDescent="0.3">
      <c r="A232" t="s">
        <v>277</v>
      </c>
      <c r="B232" s="3">
        <v>46190</v>
      </c>
      <c r="C232" t="s">
        <v>19</v>
      </c>
      <c r="D232" t="s">
        <v>21</v>
      </c>
      <c r="E232" t="s">
        <v>559</v>
      </c>
      <c r="F232" t="s">
        <v>553</v>
      </c>
      <c r="G232" t="s">
        <v>570</v>
      </c>
      <c r="H232" s="2">
        <v>6</v>
      </c>
      <c r="I232" s="1">
        <v>15000</v>
      </c>
      <c r="J232" s="1">
        <v>90000</v>
      </c>
      <c r="K232" s="1">
        <v>58500</v>
      </c>
      <c r="L232" s="1">
        <v>31500</v>
      </c>
    </row>
    <row r="233" spans="1:12" x14ac:dyDescent="0.3">
      <c r="A233" t="s">
        <v>278</v>
      </c>
      <c r="B233" s="3">
        <v>46191</v>
      </c>
      <c r="C233" t="s">
        <v>48</v>
      </c>
      <c r="D233" t="s">
        <v>21</v>
      </c>
      <c r="E233" t="s">
        <v>562</v>
      </c>
      <c r="F233" t="s">
        <v>28</v>
      </c>
      <c r="G233" t="s">
        <v>56</v>
      </c>
      <c r="H233" s="2">
        <v>6</v>
      </c>
      <c r="I233" s="1">
        <v>55000</v>
      </c>
      <c r="J233" s="1">
        <v>330000</v>
      </c>
      <c r="K233" s="1">
        <v>270600</v>
      </c>
      <c r="L233" s="1">
        <v>59400</v>
      </c>
    </row>
    <row r="234" spans="1:12" x14ac:dyDescent="0.3">
      <c r="A234" t="s">
        <v>279</v>
      </c>
      <c r="B234" s="3">
        <v>46192</v>
      </c>
      <c r="C234" t="s">
        <v>555</v>
      </c>
      <c r="D234" t="s">
        <v>21</v>
      </c>
      <c r="E234" t="s">
        <v>25</v>
      </c>
      <c r="F234" t="s">
        <v>553</v>
      </c>
      <c r="G234" t="s">
        <v>557</v>
      </c>
      <c r="H234" s="2">
        <v>3</v>
      </c>
      <c r="I234" s="1">
        <v>600</v>
      </c>
      <c r="J234" s="1">
        <v>1800</v>
      </c>
      <c r="K234" s="1">
        <v>1170</v>
      </c>
      <c r="L234" s="1">
        <v>630</v>
      </c>
    </row>
    <row r="235" spans="1:12" x14ac:dyDescent="0.3">
      <c r="A235" t="s">
        <v>280</v>
      </c>
      <c r="B235" s="3">
        <v>46192</v>
      </c>
      <c r="C235" t="s">
        <v>48</v>
      </c>
      <c r="D235" t="s">
        <v>22</v>
      </c>
      <c r="E235" t="s">
        <v>54</v>
      </c>
      <c r="F235" t="s">
        <v>27</v>
      </c>
      <c r="G235" t="s">
        <v>57</v>
      </c>
      <c r="H235" s="2">
        <v>2</v>
      </c>
      <c r="I235" s="1">
        <v>8500</v>
      </c>
      <c r="J235" s="1">
        <v>17000</v>
      </c>
      <c r="K235" s="1">
        <v>12240</v>
      </c>
      <c r="L235" s="1">
        <v>4760</v>
      </c>
    </row>
    <row r="236" spans="1:12" x14ac:dyDescent="0.3">
      <c r="A236" t="s">
        <v>281</v>
      </c>
      <c r="B236" s="3">
        <v>46193</v>
      </c>
      <c r="C236" t="s">
        <v>576</v>
      </c>
      <c r="D236" t="s">
        <v>21</v>
      </c>
      <c r="E236" t="s">
        <v>559</v>
      </c>
      <c r="F236" t="s">
        <v>551</v>
      </c>
      <c r="G236" t="s">
        <v>585</v>
      </c>
      <c r="H236" s="2">
        <v>8</v>
      </c>
      <c r="I236" s="1">
        <v>500</v>
      </c>
      <c r="J236" s="1">
        <v>4000</v>
      </c>
      <c r="K236" s="1">
        <v>2400</v>
      </c>
      <c r="L236" s="1">
        <v>1600</v>
      </c>
    </row>
    <row r="237" spans="1:12" x14ac:dyDescent="0.3">
      <c r="A237" t="s">
        <v>282</v>
      </c>
      <c r="B237" s="3">
        <v>46194</v>
      </c>
      <c r="C237" t="s">
        <v>46</v>
      </c>
      <c r="D237" t="s">
        <v>22</v>
      </c>
      <c r="E237" t="s">
        <v>26</v>
      </c>
      <c r="F237" t="s">
        <v>553</v>
      </c>
      <c r="G237" t="s">
        <v>557</v>
      </c>
      <c r="H237" s="2">
        <v>4</v>
      </c>
      <c r="I237" s="1">
        <v>600</v>
      </c>
      <c r="J237" s="1">
        <v>2400</v>
      </c>
      <c r="K237" s="1">
        <v>1560</v>
      </c>
      <c r="L237" s="1">
        <v>840</v>
      </c>
    </row>
    <row r="238" spans="1:12" x14ac:dyDescent="0.3">
      <c r="A238" t="s">
        <v>283</v>
      </c>
      <c r="B238" s="3">
        <v>46195</v>
      </c>
      <c r="C238" t="s">
        <v>52</v>
      </c>
      <c r="D238" t="s">
        <v>20</v>
      </c>
      <c r="E238" t="s">
        <v>550</v>
      </c>
      <c r="F238" t="s">
        <v>27</v>
      </c>
      <c r="G238" t="s">
        <v>61</v>
      </c>
      <c r="H238" s="2">
        <v>7</v>
      </c>
      <c r="I238" s="1">
        <v>28000</v>
      </c>
      <c r="J238" s="1">
        <v>196000</v>
      </c>
      <c r="K238" s="1">
        <v>141120</v>
      </c>
      <c r="L238" s="1">
        <v>54880</v>
      </c>
    </row>
    <row r="239" spans="1:12" x14ac:dyDescent="0.3">
      <c r="A239" t="s">
        <v>284</v>
      </c>
      <c r="B239" s="3">
        <v>46195</v>
      </c>
      <c r="C239" t="s">
        <v>48</v>
      </c>
      <c r="D239" t="s">
        <v>22</v>
      </c>
      <c r="E239" t="s">
        <v>54</v>
      </c>
      <c r="F239" t="s">
        <v>553</v>
      </c>
      <c r="G239" t="s">
        <v>554</v>
      </c>
      <c r="H239" s="2">
        <v>2</v>
      </c>
      <c r="I239" s="1">
        <v>300</v>
      </c>
      <c r="J239" s="1">
        <v>600</v>
      </c>
      <c r="K239" s="1">
        <v>390</v>
      </c>
      <c r="L239" s="1">
        <v>210</v>
      </c>
    </row>
    <row r="240" spans="1:12" x14ac:dyDescent="0.3">
      <c r="A240" t="s">
        <v>285</v>
      </c>
      <c r="B240" s="3">
        <v>46196</v>
      </c>
      <c r="C240" t="s">
        <v>17</v>
      </c>
      <c r="D240" t="s">
        <v>20</v>
      </c>
      <c r="E240" t="s">
        <v>550</v>
      </c>
      <c r="F240" t="s">
        <v>560</v>
      </c>
      <c r="G240" t="s">
        <v>567</v>
      </c>
      <c r="H240" s="2">
        <v>1</v>
      </c>
      <c r="I240" s="1">
        <v>300</v>
      </c>
      <c r="J240" s="1">
        <v>300</v>
      </c>
      <c r="K240" s="1">
        <v>165</v>
      </c>
      <c r="L240" s="1">
        <v>135</v>
      </c>
    </row>
    <row r="241" spans="1:12" x14ac:dyDescent="0.3">
      <c r="A241" t="s">
        <v>286</v>
      </c>
      <c r="B241" s="3">
        <v>46197</v>
      </c>
      <c r="C241" t="s">
        <v>45</v>
      </c>
      <c r="D241" t="s">
        <v>21</v>
      </c>
      <c r="E241" t="s">
        <v>25</v>
      </c>
      <c r="F241" t="s">
        <v>560</v>
      </c>
      <c r="G241" t="s">
        <v>575</v>
      </c>
      <c r="H241" s="2">
        <v>2</v>
      </c>
      <c r="I241" s="1">
        <v>200</v>
      </c>
      <c r="J241" s="1">
        <v>400</v>
      </c>
      <c r="K241" s="1">
        <v>220.00000000000003</v>
      </c>
      <c r="L241" s="1">
        <v>179.99999999999997</v>
      </c>
    </row>
    <row r="242" spans="1:12" x14ac:dyDescent="0.3">
      <c r="A242" t="s">
        <v>287</v>
      </c>
      <c r="B242" s="3">
        <v>46198</v>
      </c>
      <c r="C242" t="s">
        <v>44</v>
      </c>
      <c r="D242" t="s">
        <v>21</v>
      </c>
      <c r="E242" t="s">
        <v>559</v>
      </c>
      <c r="F242" t="s">
        <v>560</v>
      </c>
      <c r="G242" t="s">
        <v>575</v>
      </c>
      <c r="H242" s="2">
        <v>1</v>
      </c>
      <c r="I242" s="1">
        <v>200</v>
      </c>
      <c r="J242" s="1">
        <v>200</v>
      </c>
      <c r="K242" s="1">
        <v>110.00000000000001</v>
      </c>
      <c r="L242" s="1">
        <v>89.999999999999986</v>
      </c>
    </row>
    <row r="243" spans="1:12" x14ac:dyDescent="0.3">
      <c r="A243" t="s">
        <v>288</v>
      </c>
      <c r="B243" s="3">
        <v>46198</v>
      </c>
      <c r="C243" t="s">
        <v>48</v>
      </c>
      <c r="D243" t="s">
        <v>565</v>
      </c>
      <c r="E243" t="s">
        <v>566</v>
      </c>
      <c r="F243" t="s">
        <v>560</v>
      </c>
      <c r="G243" t="s">
        <v>581</v>
      </c>
      <c r="H243" s="2">
        <v>1</v>
      </c>
      <c r="I243" s="1">
        <v>150</v>
      </c>
      <c r="J243" s="1">
        <v>150</v>
      </c>
      <c r="K243" s="1">
        <v>82.5</v>
      </c>
      <c r="L243" s="1">
        <v>67.5</v>
      </c>
    </row>
    <row r="244" spans="1:12" x14ac:dyDescent="0.3">
      <c r="A244" t="s">
        <v>289</v>
      </c>
      <c r="B244" s="3">
        <v>46199</v>
      </c>
      <c r="C244" t="s">
        <v>49</v>
      </c>
      <c r="D244" t="s">
        <v>21</v>
      </c>
      <c r="E244" t="s">
        <v>559</v>
      </c>
      <c r="F244" t="s">
        <v>28</v>
      </c>
      <c r="G244" t="s">
        <v>32</v>
      </c>
      <c r="H244" s="2">
        <v>3</v>
      </c>
      <c r="I244" s="1">
        <v>1800</v>
      </c>
      <c r="J244" s="1">
        <v>5400</v>
      </c>
      <c r="K244" s="1">
        <v>4428</v>
      </c>
      <c r="L244" s="1">
        <v>972</v>
      </c>
    </row>
    <row r="245" spans="1:12" x14ac:dyDescent="0.3">
      <c r="A245" t="s">
        <v>290</v>
      </c>
      <c r="B245" s="3">
        <v>46200</v>
      </c>
      <c r="C245" t="s">
        <v>583</v>
      </c>
      <c r="D245" t="s">
        <v>565</v>
      </c>
      <c r="E245" t="s">
        <v>571</v>
      </c>
      <c r="F245" t="s">
        <v>28</v>
      </c>
      <c r="G245" t="s">
        <v>32</v>
      </c>
      <c r="H245" s="2">
        <v>2</v>
      </c>
      <c r="I245" s="1">
        <v>1800</v>
      </c>
      <c r="J245" s="1">
        <v>3600</v>
      </c>
      <c r="K245" s="1">
        <v>2952</v>
      </c>
      <c r="L245" s="1">
        <v>648</v>
      </c>
    </row>
    <row r="246" spans="1:12" x14ac:dyDescent="0.3">
      <c r="A246" t="s">
        <v>291</v>
      </c>
      <c r="B246" s="3">
        <v>46200</v>
      </c>
      <c r="C246" t="s">
        <v>50</v>
      </c>
      <c r="D246" t="s">
        <v>565</v>
      </c>
      <c r="E246" t="s">
        <v>582</v>
      </c>
      <c r="F246" t="s">
        <v>551</v>
      </c>
      <c r="G246" t="s">
        <v>558</v>
      </c>
      <c r="H246" s="2">
        <v>8</v>
      </c>
      <c r="I246" s="1">
        <v>1500</v>
      </c>
      <c r="J246" s="1">
        <v>12000</v>
      </c>
      <c r="K246" s="1">
        <v>7200</v>
      </c>
      <c r="L246" s="1">
        <v>4800</v>
      </c>
    </row>
    <row r="247" spans="1:12" x14ac:dyDescent="0.3">
      <c r="A247" t="s">
        <v>292</v>
      </c>
      <c r="B247" s="3">
        <v>46201</v>
      </c>
      <c r="C247" t="s">
        <v>547</v>
      </c>
      <c r="D247" t="s">
        <v>20</v>
      </c>
      <c r="E247" t="s">
        <v>23</v>
      </c>
      <c r="F247" t="s">
        <v>560</v>
      </c>
      <c r="G247" t="s">
        <v>575</v>
      </c>
      <c r="H247" s="2">
        <v>2</v>
      </c>
      <c r="I247" s="1">
        <v>200</v>
      </c>
      <c r="J247" s="1">
        <v>400</v>
      </c>
      <c r="K247" s="1">
        <v>220.00000000000003</v>
      </c>
      <c r="L247" s="1">
        <v>179.99999999999997</v>
      </c>
    </row>
    <row r="248" spans="1:12" x14ac:dyDescent="0.3">
      <c r="A248" t="s">
        <v>293</v>
      </c>
      <c r="B248" s="3">
        <v>46202</v>
      </c>
      <c r="C248" t="s">
        <v>583</v>
      </c>
      <c r="D248" t="s">
        <v>21</v>
      </c>
      <c r="E248" t="s">
        <v>25</v>
      </c>
      <c r="F248" t="s">
        <v>553</v>
      </c>
      <c r="G248" t="s">
        <v>570</v>
      </c>
      <c r="H248" s="2">
        <v>3</v>
      </c>
      <c r="I248" s="1">
        <v>15000</v>
      </c>
      <c r="J248" s="1">
        <v>45000</v>
      </c>
      <c r="K248" s="1">
        <v>29250</v>
      </c>
      <c r="L248" s="1">
        <v>15750</v>
      </c>
    </row>
    <row r="249" spans="1:12" x14ac:dyDescent="0.3">
      <c r="A249" t="s">
        <v>294</v>
      </c>
      <c r="B249" s="3">
        <v>46203</v>
      </c>
      <c r="C249" t="s">
        <v>45</v>
      </c>
      <c r="D249" t="s">
        <v>20</v>
      </c>
      <c r="E249" t="s">
        <v>55</v>
      </c>
      <c r="F249" t="s">
        <v>551</v>
      </c>
      <c r="G249" t="s">
        <v>585</v>
      </c>
      <c r="H249" s="2">
        <v>2</v>
      </c>
      <c r="I249" s="1">
        <v>500</v>
      </c>
      <c r="J249" s="1">
        <v>1000</v>
      </c>
      <c r="K249" s="1">
        <v>600</v>
      </c>
      <c r="L249" s="1">
        <v>400</v>
      </c>
    </row>
    <row r="250" spans="1:12" x14ac:dyDescent="0.3">
      <c r="A250" t="s">
        <v>295</v>
      </c>
      <c r="B250" s="3">
        <v>46203</v>
      </c>
      <c r="C250" t="s">
        <v>45</v>
      </c>
      <c r="D250" t="s">
        <v>22</v>
      </c>
      <c r="E250" t="s">
        <v>556</v>
      </c>
      <c r="F250" t="s">
        <v>553</v>
      </c>
      <c r="G250" t="s">
        <v>557</v>
      </c>
      <c r="H250" s="2">
        <v>3</v>
      </c>
      <c r="I250" s="1">
        <v>600</v>
      </c>
      <c r="J250" s="1">
        <v>1800</v>
      </c>
      <c r="K250" s="1">
        <v>1170</v>
      </c>
      <c r="L250" s="1">
        <v>630</v>
      </c>
    </row>
    <row r="251" spans="1:12" x14ac:dyDescent="0.3">
      <c r="A251" t="s">
        <v>296</v>
      </c>
      <c r="B251" s="3">
        <v>46204</v>
      </c>
      <c r="C251" t="s">
        <v>555</v>
      </c>
      <c r="D251" t="s">
        <v>21</v>
      </c>
      <c r="E251" t="s">
        <v>25</v>
      </c>
      <c r="F251" t="s">
        <v>551</v>
      </c>
      <c r="G251" t="s">
        <v>585</v>
      </c>
      <c r="H251" s="2">
        <v>1</v>
      </c>
      <c r="I251" s="1">
        <v>500</v>
      </c>
      <c r="J251" s="1">
        <v>500</v>
      </c>
      <c r="K251" s="1">
        <v>300</v>
      </c>
      <c r="L251" s="1">
        <v>200</v>
      </c>
    </row>
    <row r="252" spans="1:12" x14ac:dyDescent="0.3">
      <c r="A252" t="s">
        <v>297</v>
      </c>
      <c r="B252" s="3">
        <v>46205</v>
      </c>
      <c r="C252" t="s">
        <v>17</v>
      </c>
      <c r="D252" t="s">
        <v>565</v>
      </c>
      <c r="E252" t="s">
        <v>582</v>
      </c>
      <c r="F252" t="s">
        <v>548</v>
      </c>
      <c r="G252" t="s">
        <v>578</v>
      </c>
      <c r="H252" s="2">
        <v>6</v>
      </c>
      <c r="I252" s="1">
        <v>12000</v>
      </c>
      <c r="J252" s="1">
        <v>72000</v>
      </c>
      <c r="K252" s="1">
        <v>56160</v>
      </c>
      <c r="L252" s="1">
        <v>15840</v>
      </c>
    </row>
    <row r="253" spans="1:12" x14ac:dyDescent="0.3">
      <c r="A253" t="s">
        <v>298</v>
      </c>
      <c r="B253" s="3">
        <v>46206</v>
      </c>
      <c r="C253" t="s">
        <v>50</v>
      </c>
      <c r="D253" t="s">
        <v>21</v>
      </c>
      <c r="E253" t="s">
        <v>562</v>
      </c>
      <c r="F253" t="s">
        <v>553</v>
      </c>
      <c r="G253" t="s">
        <v>563</v>
      </c>
      <c r="H253" s="2">
        <v>7</v>
      </c>
      <c r="I253" s="1">
        <v>500</v>
      </c>
      <c r="J253" s="1">
        <v>3500</v>
      </c>
      <c r="K253" s="1">
        <v>2275</v>
      </c>
      <c r="L253" s="1">
        <v>1225</v>
      </c>
    </row>
    <row r="254" spans="1:12" x14ac:dyDescent="0.3">
      <c r="A254" t="s">
        <v>299</v>
      </c>
      <c r="B254" s="3">
        <v>46206</v>
      </c>
      <c r="C254" t="s">
        <v>576</v>
      </c>
      <c r="D254" t="s">
        <v>21</v>
      </c>
      <c r="E254" t="s">
        <v>559</v>
      </c>
      <c r="F254" t="s">
        <v>553</v>
      </c>
      <c r="G254" t="s">
        <v>577</v>
      </c>
      <c r="H254" s="2">
        <v>4</v>
      </c>
      <c r="I254" s="1">
        <v>250</v>
      </c>
      <c r="J254" s="1">
        <v>1000</v>
      </c>
      <c r="K254" s="1">
        <v>650</v>
      </c>
      <c r="L254" s="1">
        <v>350</v>
      </c>
    </row>
    <row r="255" spans="1:12" x14ac:dyDescent="0.3">
      <c r="A255" t="s">
        <v>300</v>
      </c>
      <c r="B255" s="3">
        <v>46207</v>
      </c>
      <c r="C255" t="s">
        <v>48</v>
      </c>
      <c r="D255" t="s">
        <v>565</v>
      </c>
      <c r="E255" t="s">
        <v>582</v>
      </c>
      <c r="F255" t="s">
        <v>553</v>
      </c>
      <c r="G255" t="s">
        <v>554</v>
      </c>
      <c r="H255" s="2">
        <v>8</v>
      </c>
      <c r="I255" s="1">
        <v>300</v>
      </c>
      <c r="J255" s="1">
        <v>2400</v>
      </c>
      <c r="K255" s="1">
        <v>1560</v>
      </c>
      <c r="L255" s="1">
        <v>840</v>
      </c>
    </row>
    <row r="256" spans="1:12" x14ac:dyDescent="0.3">
      <c r="A256" t="s">
        <v>301</v>
      </c>
      <c r="B256" s="3">
        <v>46208</v>
      </c>
      <c r="C256" t="s">
        <v>18</v>
      </c>
      <c r="D256" t="s">
        <v>20</v>
      </c>
      <c r="E256" t="s">
        <v>53</v>
      </c>
      <c r="F256" t="s">
        <v>548</v>
      </c>
      <c r="G256" t="s">
        <v>574</v>
      </c>
      <c r="H256" s="2">
        <v>8</v>
      </c>
      <c r="I256" s="1">
        <v>35000</v>
      </c>
      <c r="J256" s="1">
        <v>280000</v>
      </c>
      <c r="K256" s="1">
        <v>218400</v>
      </c>
      <c r="L256" s="1">
        <v>61600</v>
      </c>
    </row>
    <row r="257" spans="1:12" x14ac:dyDescent="0.3">
      <c r="A257" t="s">
        <v>302</v>
      </c>
      <c r="B257" s="3">
        <v>46209</v>
      </c>
      <c r="C257" t="s">
        <v>46</v>
      </c>
      <c r="D257" t="s">
        <v>21</v>
      </c>
      <c r="E257" t="s">
        <v>24</v>
      </c>
      <c r="F257" t="s">
        <v>28</v>
      </c>
      <c r="G257" t="s">
        <v>30</v>
      </c>
      <c r="H257" s="2">
        <v>4</v>
      </c>
      <c r="I257" s="1">
        <v>12000</v>
      </c>
      <c r="J257" s="1">
        <v>48000</v>
      </c>
      <c r="K257" s="1">
        <v>39360</v>
      </c>
      <c r="L257" s="1">
        <v>8640</v>
      </c>
    </row>
    <row r="258" spans="1:12" x14ac:dyDescent="0.3">
      <c r="A258" t="s">
        <v>303</v>
      </c>
      <c r="B258" s="3">
        <v>46209</v>
      </c>
      <c r="C258" t="s">
        <v>47</v>
      </c>
      <c r="D258" t="s">
        <v>565</v>
      </c>
      <c r="E258" t="s">
        <v>571</v>
      </c>
      <c r="F258" t="s">
        <v>560</v>
      </c>
      <c r="G258" t="s">
        <v>575</v>
      </c>
      <c r="H258" s="2">
        <v>1</v>
      </c>
      <c r="I258" s="1">
        <v>200</v>
      </c>
      <c r="J258" s="1">
        <v>200</v>
      </c>
      <c r="K258" s="1">
        <v>110.00000000000001</v>
      </c>
      <c r="L258" s="1">
        <v>89.999999999999986</v>
      </c>
    </row>
    <row r="259" spans="1:12" x14ac:dyDescent="0.3">
      <c r="A259" t="s">
        <v>304</v>
      </c>
      <c r="B259" s="3">
        <v>46210</v>
      </c>
      <c r="C259" t="s">
        <v>52</v>
      </c>
      <c r="D259" t="s">
        <v>565</v>
      </c>
      <c r="E259" t="s">
        <v>571</v>
      </c>
      <c r="F259" t="s">
        <v>28</v>
      </c>
      <c r="G259" t="s">
        <v>30</v>
      </c>
      <c r="H259" s="2">
        <v>8</v>
      </c>
      <c r="I259" s="1">
        <v>12000</v>
      </c>
      <c r="J259" s="1">
        <v>96000</v>
      </c>
      <c r="K259" s="1">
        <v>78720</v>
      </c>
      <c r="L259" s="1">
        <v>17280</v>
      </c>
    </row>
    <row r="260" spans="1:12" x14ac:dyDescent="0.3">
      <c r="A260" t="s">
        <v>305</v>
      </c>
      <c r="B260" s="3">
        <v>46211</v>
      </c>
      <c r="C260" t="s">
        <v>48</v>
      </c>
      <c r="D260" t="s">
        <v>22</v>
      </c>
      <c r="E260" t="s">
        <v>556</v>
      </c>
      <c r="F260" t="s">
        <v>560</v>
      </c>
      <c r="G260" t="s">
        <v>584</v>
      </c>
      <c r="H260" s="2">
        <v>6</v>
      </c>
      <c r="I260" s="1">
        <v>250</v>
      </c>
      <c r="J260" s="1">
        <v>1500</v>
      </c>
      <c r="K260" s="1">
        <v>825.00000000000011</v>
      </c>
      <c r="L260" s="1">
        <v>674.99999999999989</v>
      </c>
    </row>
    <row r="261" spans="1:12" x14ac:dyDescent="0.3">
      <c r="A261" t="s">
        <v>306</v>
      </c>
      <c r="B261" s="3">
        <v>46211</v>
      </c>
      <c r="C261" t="s">
        <v>555</v>
      </c>
      <c r="D261" t="s">
        <v>565</v>
      </c>
      <c r="E261" t="s">
        <v>568</v>
      </c>
      <c r="F261" t="s">
        <v>553</v>
      </c>
      <c r="G261" t="s">
        <v>554</v>
      </c>
      <c r="H261" s="2">
        <v>7</v>
      </c>
      <c r="I261" s="1">
        <v>300</v>
      </c>
      <c r="J261" s="1">
        <v>2100</v>
      </c>
      <c r="K261" s="1">
        <v>1365</v>
      </c>
      <c r="L261" s="1">
        <v>735</v>
      </c>
    </row>
    <row r="262" spans="1:12" x14ac:dyDescent="0.3">
      <c r="A262" t="s">
        <v>307</v>
      </c>
      <c r="B262" s="3">
        <v>46212</v>
      </c>
      <c r="C262" t="s">
        <v>19</v>
      </c>
      <c r="D262" t="s">
        <v>565</v>
      </c>
      <c r="E262" t="s">
        <v>582</v>
      </c>
      <c r="F262" t="s">
        <v>553</v>
      </c>
      <c r="G262" t="s">
        <v>563</v>
      </c>
      <c r="H262" s="2">
        <v>2</v>
      </c>
      <c r="I262" s="1">
        <v>500</v>
      </c>
      <c r="J262" s="1">
        <v>1000</v>
      </c>
      <c r="K262" s="1">
        <v>650</v>
      </c>
      <c r="L262" s="1">
        <v>350</v>
      </c>
    </row>
    <row r="263" spans="1:12" x14ac:dyDescent="0.3">
      <c r="A263" t="s">
        <v>308</v>
      </c>
      <c r="B263" s="3">
        <v>46213</v>
      </c>
      <c r="C263" t="s">
        <v>45</v>
      </c>
      <c r="D263" t="s">
        <v>22</v>
      </c>
      <c r="E263" t="s">
        <v>556</v>
      </c>
      <c r="F263" t="s">
        <v>548</v>
      </c>
      <c r="G263" t="s">
        <v>574</v>
      </c>
      <c r="H263" s="2">
        <v>2</v>
      </c>
      <c r="I263" s="1">
        <v>35000</v>
      </c>
      <c r="J263" s="1">
        <v>70000</v>
      </c>
      <c r="K263" s="1">
        <v>54600</v>
      </c>
      <c r="L263" s="1">
        <v>15400</v>
      </c>
    </row>
    <row r="264" spans="1:12" x14ac:dyDescent="0.3">
      <c r="A264" t="s">
        <v>309</v>
      </c>
      <c r="B264" s="3">
        <v>46214</v>
      </c>
      <c r="C264" t="s">
        <v>19</v>
      </c>
      <c r="D264" t="s">
        <v>20</v>
      </c>
      <c r="E264" t="s">
        <v>53</v>
      </c>
      <c r="F264" t="s">
        <v>28</v>
      </c>
      <c r="G264" t="s">
        <v>60</v>
      </c>
      <c r="H264" s="2">
        <v>6</v>
      </c>
      <c r="I264" s="1">
        <v>2500</v>
      </c>
      <c r="J264" s="1">
        <v>15000</v>
      </c>
      <c r="K264" s="1">
        <v>12300</v>
      </c>
      <c r="L264" s="1">
        <v>2700</v>
      </c>
    </row>
    <row r="265" spans="1:12" x14ac:dyDescent="0.3">
      <c r="A265" t="s">
        <v>310</v>
      </c>
      <c r="B265" s="3">
        <v>46214</v>
      </c>
      <c r="C265" t="s">
        <v>49</v>
      </c>
      <c r="D265" t="s">
        <v>22</v>
      </c>
      <c r="E265" t="s">
        <v>556</v>
      </c>
      <c r="F265" t="s">
        <v>548</v>
      </c>
      <c r="G265" t="s">
        <v>572</v>
      </c>
      <c r="H265" s="2">
        <v>2</v>
      </c>
      <c r="I265" s="1">
        <v>8000</v>
      </c>
      <c r="J265" s="1">
        <v>16000</v>
      </c>
      <c r="K265" s="1">
        <v>12480</v>
      </c>
      <c r="L265" s="1">
        <v>3520</v>
      </c>
    </row>
    <row r="266" spans="1:12" x14ac:dyDescent="0.3">
      <c r="A266" t="s">
        <v>311</v>
      </c>
      <c r="B266" s="3">
        <v>46215</v>
      </c>
      <c r="C266" t="s">
        <v>52</v>
      </c>
      <c r="D266" t="s">
        <v>21</v>
      </c>
      <c r="E266" t="s">
        <v>25</v>
      </c>
      <c r="F266" t="s">
        <v>28</v>
      </c>
      <c r="G266" t="s">
        <v>60</v>
      </c>
      <c r="H266" s="2">
        <v>2</v>
      </c>
      <c r="I266" s="1">
        <v>2500</v>
      </c>
      <c r="J266" s="1">
        <v>5000</v>
      </c>
      <c r="K266" s="1">
        <v>4100</v>
      </c>
      <c r="L266" s="1">
        <v>900</v>
      </c>
    </row>
    <row r="267" spans="1:12" x14ac:dyDescent="0.3">
      <c r="A267" t="s">
        <v>312</v>
      </c>
      <c r="B267" s="3">
        <v>46216</v>
      </c>
      <c r="C267" t="s">
        <v>48</v>
      </c>
      <c r="D267" t="s">
        <v>565</v>
      </c>
      <c r="E267" t="s">
        <v>582</v>
      </c>
      <c r="F267" t="s">
        <v>560</v>
      </c>
      <c r="G267" t="s">
        <v>561</v>
      </c>
      <c r="H267" s="2">
        <v>6</v>
      </c>
      <c r="I267" s="1">
        <v>400</v>
      </c>
      <c r="J267" s="1">
        <v>2400</v>
      </c>
      <c r="K267" s="1">
        <v>1320</v>
      </c>
      <c r="L267" s="1">
        <v>1080</v>
      </c>
    </row>
    <row r="268" spans="1:12" x14ac:dyDescent="0.3">
      <c r="A268" t="s">
        <v>313</v>
      </c>
      <c r="B268" s="3">
        <v>46217</v>
      </c>
      <c r="C268" t="s">
        <v>564</v>
      </c>
      <c r="D268" t="s">
        <v>21</v>
      </c>
      <c r="E268" t="s">
        <v>562</v>
      </c>
      <c r="F268" t="s">
        <v>28</v>
      </c>
      <c r="G268" t="s">
        <v>56</v>
      </c>
      <c r="H268" s="2">
        <v>8</v>
      </c>
      <c r="I268" s="1">
        <v>55000</v>
      </c>
      <c r="J268" s="1">
        <v>440000</v>
      </c>
      <c r="K268" s="1">
        <v>360800</v>
      </c>
      <c r="L268" s="1">
        <v>79200</v>
      </c>
    </row>
    <row r="269" spans="1:12" x14ac:dyDescent="0.3">
      <c r="A269" t="s">
        <v>314</v>
      </c>
      <c r="B269" s="3">
        <v>46217</v>
      </c>
      <c r="C269" t="s">
        <v>18</v>
      </c>
      <c r="D269" t="s">
        <v>21</v>
      </c>
      <c r="E269" t="s">
        <v>562</v>
      </c>
      <c r="F269" t="s">
        <v>551</v>
      </c>
      <c r="G269" t="s">
        <v>552</v>
      </c>
      <c r="H269" s="2">
        <v>7</v>
      </c>
      <c r="I269" s="1">
        <v>2500</v>
      </c>
      <c r="J269" s="1">
        <v>17500</v>
      </c>
      <c r="K269" s="1">
        <v>10500</v>
      </c>
      <c r="L269" s="1">
        <v>7000</v>
      </c>
    </row>
    <row r="270" spans="1:12" x14ac:dyDescent="0.3">
      <c r="A270" t="s">
        <v>315</v>
      </c>
      <c r="B270" s="3">
        <v>46218</v>
      </c>
      <c r="C270" t="s">
        <v>555</v>
      </c>
      <c r="D270" t="s">
        <v>21</v>
      </c>
      <c r="E270" t="s">
        <v>25</v>
      </c>
      <c r="F270" t="s">
        <v>553</v>
      </c>
      <c r="G270" t="s">
        <v>557</v>
      </c>
      <c r="H270" s="2">
        <v>1</v>
      </c>
      <c r="I270" s="1">
        <v>600</v>
      </c>
      <c r="J270" s="1">
        <v>600</v>
      </c>
      <c r="K270" s="1">
        <v>390</v>
      </c>
      <c r="L270" s="1">
        <v>210</v>
      </c>
    </row>
    <row r="271" spans="1:12" x14ac:dyDescent="0.3">
      <c r="A271" t="s">
        <v>316</v>
      </c>
      <c r="B271" s="3">
        <v>46219</v>
      </c>
      <c r="C271" t="s">
        <v>49</v>
      </c>
      <c r="D271" t="s">
        <v>21</v>
      </c>
      <c r="E271" t="s">
        <v>562</v>
      </c>
      <c r="F271" t="s">
        <v>28</v>
      </c>
      <c r="G271" t="s">
        <v>30</v>
      </c>
      <c r="H271" s="2">
        <v>8</v>
      </c>
      <c r="I271" s="1">
        <v>12000</v>
      </c>
      <c r="J271" s="1">
        <v>96000</v>
      </c>
      <c r="K271" s="1">
        <v>78720</v>
      </c>
      <c r="L271" s="1">
        <v>17280</v>
      </c>
    </row>
    <row r="272" spans="1:12" x14ac:dyDescent="0.3">
      <c r="A272" t="s">
        <v>317</v>
      </c>
      <c r="B272" s="3">
        <v>46219</v>
      </c>
      <c r="C272" t="s">
        <v>17</v>
      </c>
      <c r="D272" t="s">
        <v>22</v>
      </c>
      <c r="E272" t="s">
        <v>569</v>
      </c>
      <c r="F272" t="s">
        <v>551</v>
      </c>
      <c r="G272" t="s">
        <v>580</v>
      </c>
      <c r="H272" s="2">
        <v>4</v>
      </c>
      <c r="I272" s="1">
        <v>1800</v>
      </c>
      <c r="J272" s="1">
        <v>7200</v>
      </c>
      <c r="K272" s="1">
        <v>4320</v>
      </c>
      <c r="L272" s="1">
        <v>2880</v>
      </c>
    </row>
    <row r="273" spans="1:12" x14ac:dyDescent="0.3">
      <c r="A273" t="s">
        <v>318</v>
      </c>
      <c r="B273" s="3">
        <v>46220</v>
      </c>
      <c r="C273" t="s">
        <v>587</v>
      </c>
      <c r="D273" t="s">
        <v>565</v>
      </c>
      <c r="E273" t="s">
        <v>568</v>
      </c>
      <c r="F273" t="s">
        <v>27</v>
      </c>
      <c r="G273" t="s">
        <v>59</v>
      </c>
      <c r="H273" s="2">
        <v>7</v>
      </c>
      <c r="I273" s="1">
        <v>6500</v>
      </c>
      <c r="J273" s="1">
        <v>45500</v>
      </c>
      <c r="K273" s="1">
        <v>32760</v>
      </c>
      <c r="L273" s="1">
        <v>12740</v>
      </c>
    </row>
    <row r="274" spans="1:12" x14ac:dyDescent="0.3">
      <c r="A274" t="s">
        <v>319</v>
      </c>
      <c r="B274" s="3">
        <v>46221</v>
      </c>
      <c r="C274" t="s">
        <v>52</v>
      </c>
      <c r="D274" t="s">
        <v>20</v>
      </c>
      <c r="E274" t="s">
        <v>55</v>
      </c>
      <c r="F274" t="s">
        <v>28</v>
      </c>
      <c r="G274" t="s">
        <v>60</v>
      </c>
      <c r="H274" s="2">
        <v>4</v>
      </c>
      <c r="I274" s="1">
        <v>2500</v>
      </c>
      <c r="J274" s="1">
        <v>10000</v>
      </c>
      <c r="K274" s="1">
        <v>8200</v>
      </c>
      <c r="L274" s="1">
        <v>1800</v>
      </c>
    </row>
    <row r="275" spans="1:12" x14ac:dyDescent="0.3">
      <c r="A275" t="s">
        <v>320</v>
      </c>
      <c r="B275" s="3">
        <v>46222</v>
      </c>
      <c r="C275" t="s">
        <v>573</v>
      </c>
      <c r="D275" t="s">
        <v>21</v>
      </c>
      <c r="E275" t="s">
        <v>559</v>
      </c>
      <c r="F275" t="s">
        <v>548</v>
      </c>
      <c r="G275" t="s">
        <v>578</v>
      </c>
      <c r="H275" s="2">
        <v>4</v>
      </c>
      <c r="I275" s="1">
        <v>12000</v>
      </c>
      <c r="J275" s="1">
        <v>48000</v>
      </c>
      <c r="K275" s="1">
        <v>37440</v>
      </c>
      <c r="L275" s="1">
        <v>10560</v>
      </c>
    </row>
    <row r="276" spans="1:12" x14ac:dyDescent="0.3">
      <c r="A276" t="s">
        <v>321</v>
      </c>
      <c r="B276" s="3">
        <v>46222</v>
      </c>
      <c r="C276" t="s">
        <v>587</v>
      </c>
      <c r="D276" t="s">
        <v>20</v>
      </c>
      <c r="E276" t="s">
        <v>53</v>
      </c>
      <c r="F276" t="s">
        <v>548</v>
      </c>
      <c r="G276" t="s">
        <v>578</v>
      </c>
      <c r="H276" s="2">
        <v>7</v>
      </c>
      <c r="I276" s="1">
        <v>12000</v>
      </c>
      <c r="J276" s="1">
        <v>84000</v>
      </c>
      <c r="K276" s="1">
        <v>65520</v>
      </c>
      <c r="L276" s="1">
        <v>18480</v>
      </c>
    </row>
    <row r="277" spans="1:12" x14ac:dyDescent="0.3">
      <c r="A277" t="s">
        <v>322</v>
      </c>
      <c r="B277" s="3">
        <v>46223</v>
      </c>
      <c r="C277" t="s">
        <v>43</v>
      </c>
      <c r="D277" t="s">
        <v>22</v>
      </c>
      <c r="E277" t="s">
        <v>54</v>
      </c>
      <c r="F277" t="s">
        <v>553</v>
      </c>
      <c r="G277" t="s">
        <v>554</v>
      </c>
      <c r="H277" s="2">
        <v>4</v>
      </c>
      <c r="I277" s="1">
        <v>300</v>
      </c>
      <c r="J277" s="1">
        <v>1200</v>
      </c>
      <c r="K277" s="1">
        <v>780</v>
      </c>
      <c r="L277" s="1">
        <v>420</v>
      </c>
    </row>
    <row r="278" spans="1:12" x14ac:dyDescent="0.3">
      <c r="A278" t="s">
        <v>323</v>
      </c>
      <c r="B278" s="3">
        <v>46224</v>
      </c>
      <c r="C278" t="s">
        <v>19</v>
      </c>
      <c r="D278" t="s">
        <v>22</v>
      </c>
      <c r="E278" t="s">
        <v>26</v>
      </c>
      <c r="F278" t="s">
        <v>28</v>
      </c>
      <c r="G278" t="s">
        <v>60</v>
      </c>
      <c r="H278" s="2">
        <v>3</v>
      </c>
      <c r="I278" s="1">
        <v>2500</v>
      </c>
      <c r="J278" s="1">
        <v>7500</v>
      </c>
      <c r="K278" s="1">
        <v>6150</v>
      </c>
      <c r="L278" s="1">
        <v>1350</v>
      </c>
    </row>
    <row r="279" spans="1:12" x14ac:dyDescent="0.3">
      <c r="A279" t="s">
        <v>324</v>
      </c>
      <c r="B279" s="3">
        <v>46225</v>
      </c>
      <c r="C279" t="s">
        <v>18</v>
      </c>
      <c r="D279" t="s">
        <v>22</v>
      </c>
      <c r="E279" t="s">
        <v>569</v>
      </c>
      <c r="F279" t="s">
        <v>551</v>
      </c>
      <c r="G279" t="s">
        <v>558</v>
      </c>
      <c r="H279" s="2">
        <v>6</v>
      </c>
      <c r="I279" s="1">
        <v>1500</v>
      </c>
      <c r="J279" s="1">
        <v>9000</v>
      </c>
      <c r="K279" s="1">
        <v>5400</v>
      </c>
      <c r="L279" s="1">
        <v>3600</v>
      </c>
    </row>
    <row r="280" spans="1:12" x14ac:dyDescent="0.3">
      <c r="A280" t="s">
        <v>325</v>
      </c>
      <c r="B280" s="3">
        <v>46225</v>
      </c>
      <c r="C280" t="s">
        <v>587</v>
      </c>
      <c r="D280" t="s">
        <v>565</v>
      </c>
      <c r="E280" t="s">
        <v>566</v>
      </c>
      <c r="F280" t="s">
        <v>551</v>
      </c>
      <c r="G280" t="s">
        <v>585</v>
      </c>
      <c r="H280" s="2">
        <v>3</v>
      </c>
      <c r="I280" s="1">
        <v>500</v>
      </c>
      <c r="J280" s="1">
        <v>1500</v>
      </c>
      <c r="K280" s="1">
        <v>900</v>
      </c>
      <c r="L280" s="1">
        <v>600</v>
      </c>
    </row>
    <row r="281" spans="1:12" x14ac:dyDescent="0.3">
      <c r="A281" t="s">
        <v>326</v>
      </c>
      <c r="B281" s="3">
        <v>46226</v>
      </c>
      <c r="C281" t="s">
        <v>583</v>
      </c>
      <c r="D281" t="s">
        <v>20</v>
      </c>
      <c r="E281" t="s">
        <v>53</v>
      </c>
      <c r="F281" t="s">
        <v>560</v>
      </c>
      <c r="G281" t="s">
        <v>575</v>
      </c>
      <c r="H281" s="2">
        <v>5</v>
      </c>
      <c r="I281" s="1">
        <v>200</v>
      </c>
      <c r="J281" s="1">
        <v>1000</v>
      </c>
      <c r="K281" s="1">
        <v>550</v>
      </c>
      <c r="L281" s="1">
        <v>450</v>
      </c>
    </row>
    <row r="282" spans="1:12" x14ac:dyDescent="0.3">
      <c r="A282" t="s">
        <v>327</v>
      </c>
      <c r="B282" s="3">
        <v>46227</v>
      </c>
      <c r="C282" t="s">
        <v>46</v>
      </c>
      <c r="D282" t="s">
        <v>21</v>
      </c>
      <c r="E282" t="s">
        <v>24</v>
      </c>
      <c r="F282" t="s">
        <v>551</v>
      </c>
      <c r="G282" t="s">
        <v>580</v>
      </c>
      <c r="H282" s="2">
        <v>7</v>
      </c>
      <c r="I282" s="1">
        <v>1800</v>
      </c>
      <c r="J282" s="1">
        <v>12600</v>
      </c>
      <c r="K282" s="1">
        <v>7560</v>
      </c>
      <c r="L282" s="1">
        <v>5040</v>
      </c>
    </row>
    <row r="283" spans="1:12" x14ac:dyDescent="0.3">
      <c r="A283" t="s">
        <v>328</v>
      </c>
      <c r="B283" s="3">
        <v>46227</v>
      </c>
      <c r="C283" t="s">
        <v>46</v>
      </c>
      <c r="D283" t="s">
        <v>565</v>
      </c>
      <c r="E283" t="s">
        <v>582</v>
      </c>
      <c r="F283" t="s">
        <v>27</v>
      </c>
      <c r="G283" t="s">
        <v>29</v>
      </c>
      <c r="H283" s="2">
        <v>8</v>
      </c>
      <c r="I283" s="1">
        <v>4500</v>
      </c>
      <c r="J283" s="1">
        <v>36000</v>
      </c>
      <c r="K283" s="1">
        <v>25920</v>
      </c>
      <c r="L283" s="1">
        <v>10080</v>
      </c>
    </row>
    <row r="284" spans="1:12" x14ac:dyDescent="0.3">
      <c r="A284" t="s">
        <v>329</v>
      </c>
      <c r="B284" s="3">
        <v>46228</v>
      </c>
      <c r="C284" t="s">
        <v>564</v>
      </c>
      <c r="D284" t="s">
        <v>21</v>
      </c>
      <c r="E284" t="s">
        <v>25</v>
      </c>
      <c r="F284" t="s">
        <v>28</v>
      </c>
      <c r="G284" t="s">
        <v>58</v>
      </c>
      <c r="H284" s="2">
        <v>8</v>
      </c>
      <c r="I284" s="1">
        <v>900</v>
      </c>
      <c r="J284" s="1">
        <v>7200</v>
      </c>
      <c r="K284" s="1">
        <v>5904</v>
      </c>
      <c r="L284" s="1">
        <v>1296</v>
      </c>
    </row>
    <row r="285" spans="1:12" x14ac:dyDescent="0.3">
      <c r="A285" t="s">
        <v>330</v>
      </c>
      <c r="B285" s="3">
        <v>46229</v>
      </c>
      <c r="C285" t="s">
        <v>49</v>
      </c>
      <c r="D285" t="s">
        <v>565</v>
      </c>
      <c r="E285" t="s">
        <v>582</v>
      </c>
      <c r="F285" t="s">
        <v>548</v>
      </c>
      <c r="G285" t="s">
        <v>572</v>
      </c>
      <c r="H285" s="2">
        <v>7</v>
      </c>
      <c r="I285" s="1">
        <v>8000</v>
      </c>
      <c r="J285" s="1">
        <v>56000</v>
      </c>
      <c r="K285" s="1">
        <v>43680</v>
      </c>
      <c r="L285" s="1">
        <v>12320</v>
      </c>
    </row>
    <row r="286" spans="1:12" x14ac:dyDescent="0.3">
      <c r="A286" t="s">
        <v>331</v>
      </c>
      <c r="B286" s="3">
        <v>46230</v>
      </c>
      <c r="C286" t="s">
        <v>44</v>
      </c>
      <c r="D286" t="s">
        <v>565</v>
      </c>
      <c r="E286" t="s">
        <v>568</v>
      </c>
      <c r="F286" t="s">
        <v>548</v>
      </c>
      <c r="G286" t="s">
        <v>578</v>
      </c>
      <c r="H286" s="2">
        <v>2</v>
      </c>
      <c r="I286" s="1">
        <v>12000</v>
      </c>
      <c r="J286" s="1">
        <v>24000</v>
      </c>
      <c r="K286" s="1">
        <v>18720</v>
      </c>
      <c r="L286" s="1">
        <v>5280</v>
      </c>
    </row>
    <row r="287" spans="1:12" x14ac:dyDescent="0.3">
      <c r="A287" t="s">
        <v>332</v>
      </c>
      <c r="B287" s="3">
        <v>46230</v>
      </c>
      <c r="C287" t="s">
        <v>555</v>
      </c>
      <c r="D287" t="s">
        <v>22</v>
      </c>
      <c r="E287" t="s">
        <v>54</v>
      </c>
      <c r="F287" t="s">
        <v>560</v>
      </c>
      <c r="G287" t="s">
        <v>581</v>
      </c>
      <c r="H287" s="2">
        <v>8</v>
      </c>
      <c r="I287" s="1">
        <v>150</v>
      </c>
      <c r="J287" s="1">
        <v>1200</v>
      </c>
      <c r="K287" s="1">
        <v>660</v>
      </c>
      <c r="L287" s="1">
        <v>540</v>
      </c>
    </row>
    <row r="288" spans="1:12" x14ac:dyDescent="0.3">
      <c r="A288" t="s">
        <v>333</v>
      </c>
      <c r="B288" s="3">
        <v>46231</v>
      </c>
      <c r="C288" t="s">
        <v>547</v>
      </c>
      <c r="D288" t="s">
        <v>22</v>
      </c>
      <c r="E288" t="s">
        <v>54</v>
      </c>
      <c r="F288" t="s">
        <v>27</v>
      </c>
      <c r="G288" t="s">
        <v>31</v>
      </c>
      <c r="H288" s="2">
        <v>4</v>
      </c>
      <c r="I288" s="1">
        <v>7500</v>
      </c>
      <c r="J288" s="1">
        <v>30000</v>
      </c>
      <c r="K288" s="1">
        <v>21600</v>
      </c>
      <c r="L288" s="1">
        <v>8400</v>
      </c>
    </row>
    <row r="289" spans="1:12" x14ac:dyDescent="0.3">
      <c r="A289" t="s">
        <v>334</v>
      </c>
      <c r="B289" s="3">
        <v>46232</v>
      </c>
      <c r="C289" t="s">
        <v>587</v>
      </c>
      <c r="D289" t="s">
        <v>20</v>
      </c>
      <c r="E289" t="s">
        <v>23</v>
      </c>
      <c r="F289" t="s">
        <v>28</v>
      </c>
      <c r="G289" t="s">
        <v>56</v>
      </c>
      <c r="H289" s="2">
        <v>4</v>
      </c>
      <c r="I289" s="1">
        <v>55000</v>
      </c>
      <c r="J289" s="1">
        <v>220000</v>
      </c>
      <c r="K289" s="1">
        <v>180400</v>
      </c>
      <c r="L289" s="1">
        <v>39600</v>
      </c>
    </row>
    <row r="290" spans="1:12" x14ac:dyDescent="0.3">
      <c r="A290" t="s">
        <v>335</v>
      </c>
      <c r="B290" s="3">
        <v>46233</v>
      </c>
      <c r="C290" t="s">
        <v>555</v>
      </c>
      <c r="D290" t="s">
        <v>21</v>
      </c>
      <c r="E290" t="s">
        <v>562</v>
      </c>
      <c r="F290" t="s">
        <v>560</v>
      </c>
      <c r="G290" t="s">
        <v>575</v>
      </c>
      <c r="H290" s="2">
        <v>3</v>
      </c>
      <c r="I290" s="1">
        <v>200</v>
      </c>
      <c r="J290" s="1">
        <v>600</v>
      </c>
      <c r="K290" s="1">
        <v>330</v>
      </c>
      <c r="L290" s="1">
        <v>270</v>
      </c>
    </row>
    <row r="291" spans="1:12" x14ac:dyDescent="0.3">
      <c r="A291" t="s">
        <v>336</v>
      </c>
      <c r="B291" s="3">
        <v>46233</v>
      </c>
      <c r="C291" t="s">
        <v>564</v>
      </c>
      <c r="D291" t="s">
        <v>20</v>
      </c>
      <c r="E291" t="s">
        <v>23</v>
      </c>
      <c r="F291" t="s">
        <v>551</v>
      </c>
      <c r="G291" t="s">
        <v>579</v>
      </c>
      <c r="H291" s="2">
        <v>1</v>
      </c>
      <c r="I291" s="1">
        <v>700</v>
      </c>
      <c r="J291" s="1">
        <v>700</v>
      </c>
      <c r="K291" s="1">
        <v>420</v>
      </c>
      <c r="L291" s="1">
        <v>280</v>
      </c>
    </row>
    <row r="292" spans="1:12" x14ac:dyDescent="0.3">
      <c r="A292" t="s">
        <v>337</v>
      </c>
      <c r="B292" s="3">
        <v>46234</v>
      </c>
      <c r="C292" t="s">
        <v>547</v>
      </c>
      <c r="D292" t="s">
        <v>22</v>
      </c>
      <c r="E292" t="s">
        <v>556</v>
      </c>
      <c r="F292" t="s">
        <v>551</v>
      </c>
      <c r="G292" t="s">
        <v>585</v>
      </c>
      <c r="H292" s="2">
        <v>4</v>
      </c>
      <c r="I292" s="1">
        <v>500</v>
      </c>
      <c r="J292" s="1">
        <v>2000</v>
      </c>
      <c r="K292" s="1">
        <v>1200</v>
      </c>
      <c r="L292" s="1">
        <v>800</v>
      </c>
    </row>
    <row r="293" spans="1:12" x14ac:dyDescent="0.3">
      <c r="A293" t="s">
        <v>338</v>
      </c>
      <c r="B293" s="3">
        <v>46235</v>
      </c>
      <c r="C293" t="s">
        <v>44</v>
      </c>
      <c r="D293" t="s">
        <v>20</v>
      </c>
      <c r="E293" t="s">
        <v>55</v>
      </c>
      <c r="F293" t="s">
        <v>28</v>
      </c>
      <c r="G293" t="s">
        <v>58</v>
      </c>
      <c r="H293" s="2">
        <v>8</v>
      </c>
      <c r="I293" s="1">
        <v>900</v>
      </c>
      <c r="J293" s="1">
        <v>7200</v>
      </c>
      <c r="K293" s="1">
        <v>5904</v>
      </c>
      <c r="L293" s="1">
        <v>1296</v>
      </c>
    </row>
    <row r="294" spans="1:12" x14ac:dyDescent="0.3">
      <c r="A294" t="s">
        <v>339</v>
      </c>
      <c r="B294" s="3">
        <v>46236</v>
      </c>
      <c r="C294" t="s">
        <v>17</v>
      </c>
      <c r="D294" t="s">
        <v>22</v>
      </c>
      <c r="E294" t="s">
        <v>54</v>
      </c>
      <c r="F294" t="s">
        <v>560</v>
      </c>
      <c r="G294" t="s">
        <v>584</v>
      </c>
      <c r="H294" s="2">
        <v>7</v>
      </c>
      <c r="I294" s="1">
        <v>250</v>
      </c>
      <c r="J294" s="1">
        <v>1750</v>
      </c>
      <c r="K294" s="1">
        <v>962.50000000000011</v>
      </c>
      <c r="L294" s="1">
        <v>787.49999999999989</v>
      </c>
    </row>
    <row r="295" spans="1:12" x14ac:dyDescent="0.3">
      <c r="A295" t="s">
        <v>340</v>
      </c>
      <c r="B295" s="3">
        <v>46236</v>
      </c>
      <c r="C295" t="s">
        <v>44</v>
      </c>
      <c r="D295" t="s">
        <v>20</v>
      </c>
      <c r="E295" t="s">
        <v>23</v>
      </c>
      <c r="F295" t="s">
        <v>27</v>
      </c>
      <c r="G295" t="s">
        <v>29</v>
      </c>
      <c r="H295" s="2">
        <v>8</v>
      </c>
      <c r="I295" s="1">
        <v>4500</v>
      </c>
      <c r="J295" s="1">
        <v>36000</v>
      </c>
      <c r="K295" s="1">
        <v>25920</v>
      </c>
      <c r="L295" s="1">
        <v>10080</v>
      </c>
    </row>
    <row r="296" spans="1:12" x14ac:dyDescent="0.3">
      <c r="A296" t="s">
        <v>341</v>
      </c>
      <c r="B296" s="3">
        <v>46237</v>
      </c>
      <c r="C296" t="s">
        <v>43</v>
      </c>
      <c r="D296" t="s">
        <v>565</v>
      </c>
      <c r="E296" t="s">
        <v>566</v>
      </c>
      <c r="F296" t="s">
        <v>27</v>
      </c>
      <c r="G296" t="s">
        <v>29</v>
      </c>
      <c r="H296" s="2">
        <v>2</v>
      </c>
      <c r="I296" s="1">
        <v>4500</v>
      </c>
      <c r="J296" s="1">
        <v>9000</v>
      </c>
      <c r="K296" s="1">
        <v>6480</v>
      </c>
      <c r="L296" s="1">
        <v>2520</v>
      </c>
    </row>
    <row r="297" spans="1:12" x14ac:dyDescent="0.3">
      <c r="A297" t="s">
        <v>342</v>
      </c>
      <c r="B297" s="3">
        <v>46238</v>
      </c>
      <c r="C297" t="s">
        <v>52</v>
      </c>
      <c r="D297" t="s">
        <v>22</v>
      </c>
      <c r="E297" t="s">
        <v>556</v>
      </c>
      <c r="F297" t="s">
        <v>560</v>
      </c>
      <c r="G297" t="s">
        <v>584</v>
      </c>
      <c r="H297" s="2">
        <v>8</v>
      </c>
      <c r="I297" s="1">
        <v>250</v>
      </c>
      <c r="J297" s="1">
        <v>2000</v>
      </c>
      <c r="K297" s="1">
        <v>1100</v>
      </c>
      <c r="L297" s="1">
        <v>900</v>
      </c>
    </row>
    <row r="298" spans="1:12" x14ac:dyDescent="0.3">
      <c r="A298" t="s">
        <v>343</v>
      </c>
      <c r="B298" s="3">
        <v>46238</v>
      </c>
      <c r="C298" t="s">
        <v>43</v>
      </c>
      <c r="D298" t="s">
        <v>22</v>
      </c>
      <c r="E298" t="s">
        <v>26</v>
      </c>
      <c r="F298" t="s">
        <v>28</v>
      </c>
      <c r="G298" t="s">
        <v>30</v>
      </c>
      <c r="H298" s="2">
        <v>2</v>
      </c>
      <c r="I298" s="1">
        <v>12000</v>
      </c>
      <c r="J298" s="1">
        <v>24000</v>
      </c>
      <c r="K298" s="1">
        <v>19680</v>
      </c>
      <c r="L298" s="1">
        <v>4320</v>
      </c>
    </row>
    <row r="299" spans="1:12" x14ac:dyDescent="0.3">
      <c r="A299" t="s">
        <v>344</v>
      </c>
      <c r="B299" s="3">
        <v>46239</v>
      </c>
      <c r="C299" t="s">
        <v>45</v>
      </c>
      <c r="D299" t="s">
        <v>21</v>
      </c>
      <c r="E299" t="s">
        <v>562</v>
      </c>
      <c r="F299" t="s">
        <v>548</v>
      </c>
      <c r="G299" t="s">
        <v>578</v>
      </c>
      <c r="H299" s="2">
        <v>5</v>
      </c>
      <c r="I299" s="1">
        <v>12000</v>
      </c>
      <c r="J299" s="1">
        <v>60000</v>
      </c>
      <c r="K299" s="1">
        <v>46800</v>
      </c>
      <c r="L299" s="1">
        <v>13200</v>
      </c>
    </row>
    <row r="300" spans="1:12" x14ac:dyDescent="0.3">
      <c r="A300" t="s">
        <v>345</v>
      </c>
      <c r="B300" s="3">
        <v>46240</v>
      </c>
      <c r="C300" t="s">
        <v>17</v>
      </c>
      <c r="D300" t="s">
        <v>565</v>
      </c>
      <c r="E300" t="s">
        <v>568</v>
      </c>
      <c r="F300" t="s">
        <v>553</v>
      </c>
      <c r="G300" t="s">
        <v>554</v>
      </c>
      <c r="H300" s="2">
        <v>7</v>
      </c>
      <c r="I300" s="1">
        <v>300</v>
      </c>
      <c r="J300" s="1">
        <v>2100</v>
      </c>
      <c r="K300" s="1">
        <v>1365</v>
      </c>
      <c r="L300" s="1">
        <v>735</v>
      </c>
    </row>
    <row r="301" spans="1:12" x14ac:dyDescent="0.3">
      <c r="A301" t="s">
        <v>346</v>
      </c>
      <c r="B301" s="3">
        <v>46241</v>
      </c>
      <c r="C301" t="s">
        <v>52</v>
      </c>
      <c r="D301" t="s">
        <v>21</v>
      </c>
      <c r="E301" t="s">
        <v>25</v>
      </c>
      <c r="F301" t="s">
        <v>553</v>
      </c>
      <c r="G301" t="s">
        <v>570</v>
      </c>
      <c r="H301" s="2">
        <v>5</v>
      </c>
      <c r="I301" s="1">
        <v>15000</v>
      </c>
      <c r="J301" s="1">
        <v>75000</v>
      </c>
      <c r="K301" s="1">
        <v>48750</v>
      </c>
      <c r="L301" s="1">
        <v>26250</v>
      </c>
    </row>
    <row r="302" spans="1:12" x14ac:dyDescent="0.3">
      <c r="A302" t="s">
        <v>347</v>
      </c>
      <c r="B302" s="3">
        <v>46241</v>
      </c>
      <c r="C302" t="s">
        <v>555</v>
      </c>
      <c r="D302" t="s">
        <v>21</v>
      </c>
      <c r="E302" t="s">
        <v>24</v>
      </c>
      <c r="F302" t="s">
        <v>548</v>
      </c>
      <c r="G302" t="s">
        <v>578</v>
      </c>
      <c r="H302" s="2">
        <v>2</v>
      </c>
      <c r="I302" s="1">
        <v>12000</v>
      </c>
      <c r="J302" s="1">
        <v>24000</v>
      </c>
      <c r="K302" s="1">
        <v>18720</v>
      </c>
      <c r="L302" s="1">
        <v>5280</v>
      </c>
    </row>
    <row r="303" spans="1:12" x14ac:dyDescent="0.3">
      <c r="A303" t="s">
        <v>348</v>
      </c>
      <c r="B303" s="3">
        <v>46242</v>
      </c>
      <c r="C303" t="s">
        <v>43</v>
      </c>
      <c r="D303" t="s">
        <v>22</v>
      </c>
      <c r="E303" t="s">
        <v>556</v>
      </c>
      <c r="F303" t="s">
        <v>551</v>
      </c>
      <c r="G303" t="s">
        <v>558</v>
      </c>
      <c r="H303" s="2">
        <v>6</v>
      </c>
      <c r="I303" s="1">
        <v>1500</v>
      </c>
      <c r="J303" s="1">
        <v>9000</v>
      </c>
      <c r="K303" s="1">
        <v>5400</v>
      </c>
      <c r="L303" s="1">
        <v>3600</v>
      </c>
    </row>
    <row r="304" spans="1:12" x14ac:dyDescent="0.3">
      <c r="A304" t="s">
        <v>349</v>
      </c>
      <c r="B304" s="3">
        <v>46243</v>
      </c>
      <c r="C304" t="s">
        <v>51</v>
      </c>
      <c r="D304" t="s">
        <v>20</v>
      </c>
      <c r="E304" t="s">
        <v>55</v>
      </c>
      <c r="F304" t="s">
        <v>548</v>
      </c>
      <c r="G304" t="s">
        <v>549</v>
      </c>
      <c r="H304" s="2">
        <v>3</v>
      </c>
      <c r="I304" s="1">
        <v>40000</v>
      </c>
      <c r="J304" s="1">
        <v>120000</v>
      </c>
      <c r="K304" s="1">
        <v>93600</v>
      </c>
      <c r="L304" s="1">
        <v>26400</v>
      </c>
    </row>
    <row r="305" spans="1:12" x14ac:dyDescent="0.3">
      <c r="A305" t="s">
        <v>350</v>
      </c>
      <c r="B305" s="3">
        <v>46244</v>
      </c>
      <c r="C305" t="s">
        <v>583</v>
      </c>
      <c r="D305" t="s">
        <v>21</v>
      </c>
      <c r="E305" t="s">
        <v>25</v>
      </c>
      <c r="F305" t="s">
        <v>28</v>
      </c>
      <c r="G305" t="s">
        <v>56</v>
      </c>
      <c r="H305" s="2">
        <v>5</v>
      </c>
      <c r="I305" s="1">
        <v>55000</v>
      </c>
      <c r="J305" s="1">
        <v>275000</v>
      </c>
      <c r="K305" s="1">
        <v>225500</v>
      </c>
      <c r="L305" s="1">
        <v>49500</v>
      </c>
    </row>
    <row r="306" spans="1:12" x14ac:dyDescent="0.3">
      <c r="A306" t="s">
        <v>351</v>
      </c>
      <c r="B306" s="3">
        <v>46244</v>
      </c>
      <c r="C306" t="s">
        <v>17</v>
      </c>
      <c r="D306" t="s">
        <v>20</v>
      </c>
      <c r="E306" t="s">
        <v>55</v>
      </c>
      <c r="F306" t="s">
        <v>28</v>
      </c>
      <c r="G306" t="s">
        <v>32</v>
      </c>
      <c r="H306" s="2">
        <v>1</v>
      </c>
      <c r="I306" s="1">
        <v>1800</v>
      </c>
      <c r="J306" s="1">
        <v>1800</v>
      </c>
      <c r="K306" s="1">
        <v>1476</v>
      </c>
      <c r="L306" s="1">
        <v>324</v>
      </c>
    </row>
    <row r="307" spans="1:12" x14ac:dyDescent="0.3">
      <c r="A307" t="s">
        <v>352</v>
      </c>
      <c r="B307" s="3">
        <v>46245</v>
      </c>
      <c r="C307" t="s">
        <v>44</v>
      </c>
      <c r="D307" t="s">
        <v>20</v>
      </c>
      <c r="E307" t="s">
        <v>550</v>
      </c>
      <c r="F307" t="s">
        <v>28</v>
      </c>
      <c r="G307" t="s">
        <v>32</v>
      </c>
      <c r="H307" s="2">
        <v>2</v>
      </c>
      <c r="I307" s="1">
        <v>1800</v>
      </c>
      <c r="J307" s="1">
        <v>3600</v>
      </c>
      <c r="K307" s="1">
        <v>2952</v>
      </c>
      <c r="L307" s="1">
        <v>648</v>
      </c>
    </row>
    <row r="308" spans="1:12" x14ac:dyDescent="0.3">
      <c r="A308" t="s">
        <v>353</v>
      </c>
      <c r="B308" s="3">
        <v>46246</v>
      </c>
      <c r="C308" t="s">
        <v>48</v>
      </c>
      <c r="D308" t="s">
        <v>21</v>
      </c>
      <c r="E308" t="s">
        <v>25</v>
      </c>
      <c r="F308" t="s">
        <v>548</v>
      </c>
      <c r="G308" t="s">
        <v>578</v>
      </c>
      <c r="H308" s="2">
        <v>6</v>
      </c>
      <c r="I308" s="1">
        <v>12000</v>
      </c>
      <c r="J308" s="1">
        <v>72000</v>
      </c>
      <c r="K308" s="1">
        <v>56160</v>
      </c>
      <c r="L308" s="1">
        <v>15840</v>
      </c>
    </row>
    <row r="309" spans="1:12" x14ac:dyDescent="0.3">
      <c r="A309" t="s">
        <v>354</v>
      </c>
      <c r="B309" s="3">
        <v>46246</v>
      </c>
      <c r="C309" t="s">
        <v>564</v>
      </c>
      <c r="D309" t="s">
        <v>565</v>
      </c>
      <c r="E309" t="s">
        <v>568</v>
      </c>
      <c r="F309" t="s">
        <v>553</v>
      </c>
      <c r="G309" t="s">
        <v>554</v>
      </c>
      <c r="H309" s="2">
        <v>6</v>
      </c>
      <c r="I309" s="1">
        <v>300</v>
      </c>
      <c r="J309" s="1">
        <v>1800</v>
      </c>
      <c r="K309" s="1">
        <v>1170</v>
      </c>
      <c r="L309" s="1">
        <v>630</v>
      </c>
    </row>
    <row r="310" spans="1:12" x14ac:dyDescent="0.3">
      <c r="A310" t="s">
        <v>355</v>
      </c>
      <c r="B310" s="3">
        <v>46247</v>
      </c>
      <c r="C310" t="s">
        <v>547</v>
      </c>
      <c r="D310" t="s">
        <v>565</v>
      </c>
      <c r="E310" t="s">
        <v>566</v>
      </c>
      <c r="F310" t="s">
        <v>548</v>
      </c>
      <c r="G310" t="s">
        <v>586</v>
      </c>
      <c r="H310" s="2">
        <v>7</v>
      </c>
      <c r="I310" s="1">
        <v>18000</v>
      </c>
      <c r="J310" s="1">
        <v>126000</v>
      </c>
      <c r="K310" s="1">
        <v>98280</v>
      </c>
      <c r="L310" s="1">
        <v>27720</v>
      </c>
    </row>
    <row r="311" spans="1:12" x14ac:dyDescent="0.3">
      <c r="A311" t="s">
        <v>356</v>
      </c>
      <c r="B311" s="3">
        <v>46248</v>
      </c>
      <c r="C311" t="s">
        <v>547</v>
      </c>
      <c r="D311" t="s">
        <v>20</v>
      </c>
      <c r="E311" t="s">
        <v>55</v>
      </c>
      <c r="F311" t="s">
        <v>27</v>
      </c>
      <c r="G311" t="s">
        <v>59</v>
      </c>
      <c r="H311" s="2">
        <v>4</v>
      </c>
      <c r="I311" s="1">
        <v>6500</v>
      </c>
      <c r="J311" s="1">
        <v>26000</v>
      </c>
      <c r="K311" s="1">
        <v>18720</v>
      </c>
      <c r="L311" s="1">
        <v>7280</v>
      </c>
    </row>
    <row r="312" spans="1:12" x14ac:dyDescent="0.3">
      <c r="A312" t="s">
        <v>357</v>
      </c>
      <c r="B312" s="3">
        <v>46249</v>
      </c>
      <c r="C312" t="s">
        <v>51</v>
      </c>
      <c r="D312" t="s">
        <v>21</v>
      </c>
      <c r="E312" t="s">
        <v>25</v>
      </c>
      <c r="F312" t="s">
        <v>553</v>
      </c>
      <c r="G312" t="s">
        <v>570</v>
      </c>
      <c r="H312" s="2">
        <v>6</v>
      </c>
      <c r="I312" s="1">
        <v>15000</v>
      </c>
      <c r="J312" s="1">
        <v>90000</v>
      </c>
      <c r="K312" s="1">
        <v>58500</v>
      </c>
      <c r="L312" s="1">
        <v>31500</v>
      </c>
    </row>
    <row r="313" spans="1:12" x14ac:dyDescent="0.3">
      <c r="A313" t="s">
        <v>358</v>
      </c>
      <c r="B313" s="3">
        <v>46249</v>
      </c>
      <c r="C313" t="s">
        <v>47</v>
      </c>
      <c r="D313" t="s">
        <v>22</v>
      </c>
      <c r="E313" t="s">
        <v>26</v>
      </c>
      <c r="F313" t="s">
        <v>27</v>
      </c>
      <c r="G313" t="s">
        <v>31</v>
      </c>
      <c r="H313" s="2">
        <v>7</v>
      </c>
      <c r="I313" s="1">
        <v>7500</v>
      </c>
      <c r="J313" s="1">
        <v>52500</v>
      </c>
      <c r="K313" s="1">
        <v>37800</v>
      </c>
      <c r="L313" s="1">
        <v>14700</v>
      </c>
    </row>
    <row r="314" spans="1:12" x14ac:dyDescent="0.3">
      <c r="A314" t="s">
        <v>359</v>
      </c>
      <c r="B314" s="3">
        <v>46250</v>
      </c>
      <c r="C314" t="s">
        <v>583</v>
      </c>
      <c r="D314" t="s">
        <v>565</v>
      </c>
      <c r="E314" t="s">
        <v>571</v>
      </c>
      <c r="F314" t="s">
        <v>553</v>
      </c>
      <c r="G314" t="s">
        <v>557</v>
      </c>
      <c r="H314" s="2">
        <v>4</v>
      </c>
      <c r="I314" s="1">
        <v>600</v>
      </c>
      <c r="J314" s="1">
        <v>2400</v>
      </c>
      <c r="K314" s="1">
        <v>1560</v>
      </c>
      <c r="L314" s="1">
        <v>840</v>
      </c>
    </row>
    <row r="315" spans="1:12" x14ac:dyDescent="0.3">
      <c r="A315" t="s">
        <v>360</v>
      </c>
      <c r="B315" s="3">
        <v>46251</v>
      </c>
      <c r="C315" t="s">
        <v>576</v>
      </c>
      <c r="D315" t="s">
        <v>21</v>
      </c>
      <c r="E315" t="s">
        <v>24</v>
      </c>
      <c r="F315" t="s">
        <v>560</v>
      </c>
      <c r="G315" t="s">
        <v>561</v>
      </c>
      <c r="H315" s="2">
        <v>3</v>
      </c>
      <c r="I315" s="1">
        <v>400</v>
      </c>
      <c r="J315" s="1">
        <v>1200</v>
      </c>
      <c r="K315" s="1">
        <v>660</v>
      </c>
      <c r="L315" s="1">
        <v>540</v>
      </c>
    </row>
    <row r="316" spans="1:12" x14ac:dyDescent="0.3">
      <c r="A316" t="s">
        <v>361</v>
      </c>
      <c r="B316" s="3">
        <v>46252</v>
      </c>
      <c r="C316" t="s">
        <v>18</v>
      </c>
      <c r="D316" t="s">
        <v>22</v>
      </c>
      <c r="E316" t="s">
        <v>54</v>
      </c>
      <c r="F316" t="s">
        <v>553</v>
      </c>
      <c r="G316" t="s">
        <v>570</v>
      </c>
      <c r="H316" s="2">
        <v>8</v>
      </c>
      <c r="I316" s="1">
        <v>15000</v>
      </c>
      <c r="J316" s="1">
        <v>120000</v>
      </c>
      <c r="K316" s="1">
        <v>78000</v>
      </c>
      <c r="L316" s="1">
        <v>42000</v>
      </c>
    </row>
    <row r="317" spans="1:12" x14ac:dyDescent="0.3">
      <c r="A317" t="s">
        <v>362</v>
      </c>
      <c r="B317" s="3">
        <v>46252</v>
      </c>
      <c r="C317" t="s">
        <v>49</v>
      </c>
      <c r="D317" t="s">
        <v>565</v>
      </c>
      <c r="E317" t="s">
        <v>568</v>
      </c>
      <c r="F317" t="s">
        <v>553</v>
      </c>
      <c r="G317" t="s">
        <v>570</v>
      </c>
      <c r="H317" s="2">
        <v>3</v>
      </c>
      <c r="I317" s="1">
        <v>15000</v>
      </c>
      <c r="J317" s="1">
        <v>45000</v>
      </c>
      <c r="K317" s="1">
        <v>29250</v>
      </c>
      <c r="L317" s="1">
        <v>15750</v>
      </c>
    </row>
    <row r="318" spans="1:12" x14ac:dyDescent="0.3">
      <c r="A318" t="s">
        <v>363</v>
      </c>
      <c r="B318" s="3">
        <v>46253</v>
      </c>
      <c r="C318" t="s">
        <v>50</v>
      </c>
      <c r="D318" t="s">
        <v>21</v>
      </c>
      <c r="E318" t="s">
        <v>562</v>
      </c>
      <c r="F318" t="s">
        <v>28</v>
      </c>
      <c r="G318" t="s">
        <v>58</v>
      </c>
      <c r="H318" s="2">
        <v>4</v>
      </c>
      <c r="I318" s="1">
        <v>900</v>
      </c>
      <c r="J318" s="1">
        <v>3600</v>
      </c>
      <c r="K318" s="1">
        <v>2952</v>
      </c>
      <c r="L318" s="1">
        <v>648</v>
      </c>
    </row>
    <row r="319" spans="1:12" x14ac:dyDescent="0.3">
      <c r="A319" t="s">
        <v>364</v>
      </c>
      <c r="B319" s="3">
        <v>46254</v>
      </c>
      <c r="C319" t="s">
        <v>52</v>
      </c>
      <c r="D319" t="s">
        <v>20</v>
      </c>
      <c r="E319" t="s">
        <v>55</v>
      </c>
      <c r="F319" t="s">
        <v>553</v>
      </c>
      <c r="G319" t="s">
        <v>577</v>
      </c>
      <c r="H319" s="2">
        <v>3</v>
      </c>
      <c r="I319" s="1">
        <v>250</v>
      </c>
      <c r="J319" s="1">
        <v>750</v>
      </c>
      <c r="K319" s="1">
        <v>487.5</v>
      </c>
      <c r="L319" s="1">
        <v>262.5</v>
      </c>
    </row>
    <row r="320" spans="1:12" x14ac:dyDescent="0.3">
      <c r="A320" t="s">
        <v>365</v>
      </c>
      <c r="B320" s="3">
        <v>46254</v>
      </c>
      <c r="C320" t="s">
        <v>51</v>
      </c>
      <c r="D320" t="s">
        <v>20</v>
      </c>
      <c r="E320" t="s">
        <v>550</v>
      </c>
      <c r="F320" t="s">
        <v>548</v>
      </c>
      <c r="G320" t="s">
        <v>572</v>
      </c>
      <c r="H320" s="2">
        <v>8</v>
      </c>
      <c r="I320" s="1">
        <v>8000</v>
      </c>
      <c r="J320" s="1">
        <v>64000</v>
      </c>
      <c r="K320" s="1">
        <v>49920</v>
      </c>
      <c r="L320" s="1">
        <v>14080</v>
      </c>
    </row>
    <row r="321" spans="1:12" x14ac:dyDescent="0.3">
      <c r="A321" t="s">
        <v>366</v>
      </c>
      <c r="B321" s="3">
        <v>46255</v>
      </c>
      <c r="C321" t="s">
        <v>576</v>
      </c>
      <c r="D321" t="s">
        <v>21</v>
      </c>
      <c r="E321" t="s">
        <v>559</v>
      </c>
      <c r="F321" t="s">
        <v>548</v>
      </c>
      <c r="G321" t="s">
        <v>574</v>
      </c>
      <c r="H321" s="2">
        <v>4</v>
      </c>
      <c r="I321" s="1">
        <v>35000</v>
      </c>
      <c r="J321" s="1">
        <v>140000</v>
      </c>
      <c r="K321" s="1">
        <v>109200</v>
      </c>
      <c r="L321" s="1">
        <v>30800</v>
      </c>
    </row>
    <row r="322" spans="1:12" x14ac:dyDescent="0.3">
      <c r="A322" t="s">
        <v>367</v>
      </c>
      <c r="B322" s="3">
        <v>46256</v>
      </c>
      <c r="C322" t="s">
        <v>564</v>
      </c>
      <c r="D322" t="s">
        <v>565</v>
      </c>
      <c r="E322" t="s">
        <v>566</v>
      </c>
      <c r="F322" t="s">
        <v>28</v>
      </c>
      <c r="G322" t="s">
        <v>60</v>
      </c>
      <c r="H322" s="2">
        <v>8</v>
      </c>
      <c r="I322" s="1">
        <v>2500</v>
      </c>
      <c r="J322" s="1">
        <v>20000</v>
      </c>
      <c r="K322" s="1">
        <v>16400</v>
      </c>
      <c r="L322" s="1">
        <v>3600</v>
      </c>
    </row>
    <row r="323" spans="1:12" x14ac:dyDescent="0.3">
      <c r="A323" t="s">
        <v>368</v>
      </c>
      <c r="B323" s="3">
        <v>46257</v>
      </c>
      <c r="C323" t="s">
        <v>19</v>
      </c>
      <c r="D323" t="s">
        <v>22</v>
      </c>
      <c r="E323" t="s">
        <v>569</v>
      </c>
      <c r="F323" t="s">
        <v>551</v>
      </c>
      <c r="G323" t="s">
        <v>579</v>
      </c>
      <c r="H323" s="2">
        <v>1</v>
      </c>
      <c r="I323" s="1">
        <v>700</v>
      </c>
      <c r="J323" s="1">
        <v>700</v>
      </c>
      <c r="K323" s="1">
        <v>420</v>
      </c>
      <c r="L323" s="1">
        <v>280</v>
      </c>
    </row>
    <row r="324" spans="1:12" x14ac:dyDescent="0.3">
      <c r="A324" t="s">
        <v>369</v>
      </c>
      <c r="B324" s="3">
        <v>46257</v>
      </c>
      <c r="C324" t="s">
        <v>17</v>
      </c>
      <c r="D324" t="s">
        <v>20</v>
      </c>
      <c r="E324" t="s">
        <v>55</v>
      </c>
      <c r="F324" t="s">
        <v>553</v>
      </c>
      <c r="G324" t="s">
        <v>557</v>
      </c>
      <c r="H324" s="2">
        <v>1</v>
      </c>
      <c r="I324" s="1">
        <v>600</v>
      </c>
      <c r="J324" s="1">
        <v>600</v>
      </c>
      <c r="K324" s="1">
        <v>390</v>
      </c>
      <c r="L324" s="1">
        <v>210</v>
      </c>
    </row>
    <row r="325" spans="1:12" x14ac:dyDescent="0.3">
      <c r="A325" t="s">
        <v>370</v>
      </c>
      <c r="B325" s="3">
        <v>46258</v>
      </c>
      <c r="C325" t="s">
        <v>547</v>
      </c>
      <c r="D325" t="s">
        <v>20</v>
      </c>
      <c r="E325" t="s">
        <v>23</v>
      </c>
      <c r="F325" t="s">
        <v>27</v>
      </c>
      <c r="G325" t="s">
        <v>29</v>
      </c>
      <c r="H325" s="2">
        <v>7</v>
      </c>
      <c r="I325" s="1">
        <v>4500</v>
      </c>
      <c r="J325" s="1">
        <v>31500</v>
      </c>
      <c r="K325" s="1">
        <v>22680</v>
      </c>
      <c r="L325" s="1">
        <v>8820</v>
      </c>
    </row>
    <row r="326" spans="1:12" x14ac:dyDescent="0.3">
      <c r="A326" t="s">
        <v>371</v>
      </c>
      <c r="B326" s="3">
        <v>46259</v>
      </c>
      <c r="C326" t="s">
        <v>52</v>
      </c>
      <c r="D326" t="s">
        <v>21</v>
      </c>
      <c r="E326" t="s">
        <v>562</v>
      </c>
      <c r="F326" t="s">
        <v>27</v>
      </c>
      <c r="G326" t="s">
        <v>59</v>
      </c>
      <c r="H326" s="2">
        <v>2</v>
      </c>
      <c r="I326" s="1">
        <v>6500</v>
      </c>
      <c r="J326" s="1">
        <v>13000</v>
      </c>
      <c r="K326" s="1">
        <v>9360</v>
      </c>
      <c r="L326" s="1">
        <v>3640</v>
      </c>
    </row>
    <row r="327" spans="1:12" x14ac:dyDescent="0.3">
      <c r="A327" t="s">
        <v>372</v>
      </c>
      <c r="B327" s="3">
        <v>46260</v>
      </c>
      <c r="C327" t="s">
        <v>19</v>
      </c>
      <c r="D327" t="s">
        <v>20</v>
      </c>
      <c r="E327" t="s">
        <v>550</v>
      </c>
      <c r="F327" t="s">
        <v>560</v>
      </c>
      <c r="G327" t="s">
        <v>567</v>
      </c>
      <c r="H327" s="2">
        <v>1</v>
      </c>
      <c r="I327" s="1">
        <v>300</v>
      </c>
      <c r="J327" s="1">
        <v>300</v>
      </c>
      <c r="K327" s="1">
        <v>165</v>
      </c>
      <c r="L327" s="1">
        <v>135</v>
      </c>
    </row>
    <row r="328" spans="1:12" x14ac:dyDescent="0.3">
      <c r="A328" t="s">
        <v>373</v>
      </c>
      <c r="B328" s="3">
        <v>46260</v>
      </c>
      <c r="C328" t="s">
        <v>46</v>
      </c>
      <c r="D328" t="s">
        <v>21</v>
      </c>
      <c r="E328" t="s">
        <v>24</v>
      </c>
      <c r="F328" t="s">
        <v>560</v>
      </c>
      <c r="G328" t="s">
        <v>581</v>
      </c>
      <c r="H328" s="2">
        <v>6</v>
      </c>
      <c r="I328" s="1">
        <v>150</v>
      </c>
      <c r="J328" s="1">
        <v>900</v>
      </c>
      <c r="K328" s="1">
        <v>495.00000000000006</v>
      </c>
      <c r="L328" s="1">
        <v>404.99999999999994</v>
      </c>
    </row>
    <row r="329" spans="1:12" x14ac:dyDescent="0.3">
      <c r="A329" t="s">
        <v>374</v>
      </c>
      <c r="B329" s="3">
        <v>46261</v>
      </c>
      <c r="C329" t="s">
        <v>49</v>
      </c>
      <c r="D329" t="s">
        <v>20</v>
      </c>
      <c r="E329" t="s">
        <v>550</v>
      </c>
      <c r="F329" t="s">
        <v>27</v>
      </c>
      <c r="G329" t="s">
        <v>57</v>
      </c>
      <c r="H329" s="2">
        <v>6</v>
      </c>
      <c r="I329" s="1">
        <v>8500</v>
      </c>
      <c r="J329" s="1">
        <v>51000</v>
      </c>
      <c r="K329" s="1">
        <v>36720</v>
      </c>
      <c r="L329" s="1">
        <v>14280</v>
      </c>
    </row>
    <row r="330" spans="1:12" x14ac:dyDescent="0.3">
      <c r="A330" t="s">
        <v>375</v>
      </c>
      <c r="B330" s="3">
        <v>46262</v>
      </c>
      <c r="C330" t="s">
        <v>555</v>
      </c>
      <c r="D330" t="s">
        <v>20</v>
      </c>
      <c r="E330" t="s">
        <v>53</v>
      </c>
      <c r="F330" t="s">
        <v>28</v>
      </c>
      <c r="G330" t="s">
        <v>56</v>
      </c>
      <c r="H330" s="2">
        <v>1</v>
      </c>
      <c r="I330" s="1">
        <v>55000</v>
      </c>
      <c r="J330" s="1">
        <v>55000</v>
      </c>
      <c r="K330" s="1">
        <v>45100</v>
      </c>
      <c r="L330" s="1">
        <v>9900</v>
      </c>
    </row>
    <row r="331" spans="1:12" x14ac:dyDescent="0.3">
      <c r="A331" t="s">
        <v>376</v>
      </c>
      <c r="B331" s="3">
        <v>46262</v>
      </c>
      <c r="C331" t="s">
        <v>583</v>
      </c>
      <c r="D331" t="s">
        <v>21</v>
      </c>
      <c r="E331" t="s">
        <v>559</v>
      </c>
      <c r="F331" t="s">
        <v>560</v>
      </c>
      <c r="G331" t="s">
        <v>561</v>
      </c>
      <c r="H331" s="2">
        <v>5</v>
      </c>
      <c r="I331" s="1">
        <v>400</v>
      </c>
      <c r="J331" s="1">
        <v>2000</v>
      </c>
      <c r="K331" s="1">
        <v>1100</v>
      </c>
      <c r="L331" s="1">
        <v>900</v>
      </c>
    </row>
    <row r="332" spans="1:12" x14ac:dyDescent="0.3">
      <c r="A332" t="s">
        <v>377</v>
      </c>
      <c r="B332" s="3">
        <v>46263</v>
      </c>
      <c r="C332" t="s">
        <v>46</v>
      </c>
      <c r="D332" t="s">
        <v>21</v>
      </c>
      <c r="E332" t="s">
        <v>24</v>
      </c>
      <c r="F332" t="s">
        <v>560</v>
      </c>
      <c r="G332" t="s">
        <v>584</v>
      </c>
      <c r="H332" s="2">
        <v>3</v>
      </c>
      <c r="I332" s="1">
        <v>250</v>
      </c>
      <c r="J332" s="1">
        <v>750</v>
      </c>
      <c r="K332" s="1">
        <v>412.50000000000006</v>
      </c>
      <c r="L332" s="1">
        <v>337.49999999999994</v>
      </c>
    </row>
    <row r="333" spans="1:12" x14ac:dyDescent="0.3">
      <c r="A333" t="s">
        <v>378</v>
      </c>
      <c r="B333" s="3">
        <v>46264</v>
      </c>
      <c r="C333" t="s">
        <v>43</v>
      </c>
      <c r="D333" t="s">
        <v>21</v>
      </c>
      <c r="E333" t="s">
        <v>562</v>
      </c>
      <c r="F333" t="s">
        <v>28</v>
      </c>
      <c r="G333" t="s">
        <v>30</v>
      </c>
      <c r="H333" s="2">
        <v>2</v>
      </c>
      <c r="I333" s="1">
        <v>12000</v>
      </c>
      <c r="J333" s="1">
        <v>24000</v>
      </c>
      <c r="K333" s="1">
        <v>19680</v>
      </c>
      <c r="L333" s="1">
        <v>4320</v>
      </c>
    </row>
    <row r="334" spans="1:12" x14ac:dyDescent="0.3">
      <c r="A334" t="s">
        <v>379</v>
      </c>
      <c r="B334" s="3">
        <v>46265</v>
      </c>
      <c r="C334" t="s">
        <v>576</v>
      </c>
      <c r="D334" t="s">
        <v>22</v>
      </c>
      <c r="E334" t="s">
        <v>54</v>
      </c>
      <c r="F334" t="s">
        <v>27</v>
      </c>
      <c r="G334" t="s">
        <v>29</v>
      </c>
      <c r="H334" s="2">
        <v>8</v>
      </c>
      <c r="I334" s="1">
        <v>4500</v>
      </c>
      <c r="J334" s="1">
        <v>36000</v>
      </c>
      <c r="K334" s="1">
        <v>25920</v>
      </c>
      <c r="L334" s="1">
        <v>10080</v>
      </c>
    </row>
    <row r="335" spans="1:12" x14ac:dyDescent="0.3">
      <c r="A335" t="s">
        <v>380</v>
      </c>
      <c r="B335" s="3">
        <v>46265</v>
      </c>
      <c r="C335" t="s">
        <v>19</v>
      </c>
      <c r="D335" t="s">
        <v>21</v>
      </c>
      <c r="E335" t="s">
        <v>562</v>
      </c>
      <c r="F335" t="s">
        <v>28</v>
      </c>
      <c r="G335" t="s">
        <v>60</v>
      </c>
      <c r="H335" s="2">
        <v>8</v>
      </c>
      <c r="I335" s="1">
        <v>2500</v>
      </c>
      <c r="J335" s="1">
        <v>20000</v>
      </c>
      <c r="K335" s="1">
        <v>16400</v>
      </c>
      <c r="L335" s="1">
        <v>3600</v>
      </c>
    </row>
    <row r="336" spans="1:12" x14ac:dyDescent="0.3">
      <c r="A336" t="s">
        <v>381</v>
      </c>
      <c r="B336" s="3">
        <v>46266</v>
      </c>
      <c r="C336" t="s">
        <v>49</v>
      </c>
      <c r="D336" t="s">
        <v>21</v>
      </c>
      <c r="E336" t="s">
        <v>559</v>
      </c>
      <c r="F336" t="s">
        <v>553</v>
      </c>
      <c r="G336" t="s">
        <v>570</v>
      </c>
      <c r="H336" s="2">
        <v>1</v>
      </c>
      <c r="I336" s="1">
        <v>15000</v>
      </c>
      <c r="J336" s="1">
        <v>15000</v>
      </c>
      <c r="K336" s="1">
        <v>9750</v>
      </c>
      <c r="L336" s="1">
        <v>5250</v>
      </c>
    </row>
    <row r="337" spans="1:12" x14ac:dyDescent="0.3">
      <c r="A337" t="s">
        <v>382</v>
      </c>
      <c r="B337" s="3">
        <v>46267</v>
      </c>
      <c r="C337" t="s">
        <v>49</v>
      </c>
      <c r="D337" t="s">
        <v>20</v>
      </c>
      <c r="E337" t="s">
        <v>53</v>
      </c>
      <c r="F337" t="s">
        <v>553</v>
      </c>
      <c r="G337" t="s">
        <v>554</v>
      </c>
      <c r="H337" s="2">
        <v>2</v>
      </c>
      <c r="I337" s="1">
        <v>300</v>
      </c>
      <c r="J337" s="1">
        <v>600</v>
      </c>
      <c r="K337" s="1">
        <v>390</v>
      </c>
      <c r="L337" s="1">
        <v>210</v>
      </c>
    </row>
    <row r="338" spans="1:12" x14ac:dyDescent="0.3">
      <c r="A338" t="s">
        <v>383</v>
      </c>
      <c r="B338" s="3">
        <v>46268</v>
      </c>
      <c r="C338" t="s">
        <v>45</v>
      </c>
      <c r="D338" t="s">
        <v>565</v>
      </c>
      <c r="E338" t="s">
        <v>571</v>
      </c>
      <c r="F338" t="s">
        <v>27</v>
      </c>
      <c r="G338" t="s">
        <v>31</v>
      </c>
      <c r="H338" s="2">
        <v>5</v>
      </c>
      <c r="I338" s="1">
        <v>7500</v>
      </c>
      <c r="J338" s="1">
        <v>37500</v>
      </c>
      <c r="K338" s="1">
        <v>27000</v>
      </c>
      <c r="L338" s="1">
        <v>10500</v>
      </c>
    </row>
    <row r="339" spans="1:12" x14ac:dyDescent="0.3">
      <c r="A339" t="s">
        <v>384</v>
      </c>
      <c r="B339" s="3">
        <v>46268</v>
      </c>
      <c r="C339" t="s">
        <v>17</v>
      </c>
      <c r="D339" t="s">
        <v>565</v>
      </c>
      <c r="E339" t="s">
        <v>568</v>
      </c>
      <c r="F339" t="s">
        <v>548</v>
      </c>
      <c r="G339" t="s">
        <v>578</v>
      </c>
      <c r="H339" s="2">
        <v>3</v>
      </c>
      <c r="I339" s="1">
        <v>12000</v>
      </c>
      <c r="J339" s="1">
        <v>36000</v>
      </c>
      <c r="K339" s="1">
        <v>28080</v>
      </c>
      <c r="L339" s="1">
        <v>7920</v>
      </c>
    </row>
    <row r="340" spans="1:12" x14ac:dyDescent="0.3">
      <c r="A340" t="s">
        <v>385</v>
      </c>
      <c r="B340" s="3">
        <v>46269</v>
      </c>
      <c r="C340" t="s">
        <v>573</v>
      </c>
      <c r="D340" t="s">
        <v>21</v>
      </c>
      <c r="E340" t="s">
        <v>25</v>
      </c>
      <c r="F340" t="s">
        <v>551</v>
      </c>
      <c r="G340" t="s">
        <v>558</v>
      </c>
      <c r="H340" s="2">
        <v>6</v>
      </c>
      <c r="I340" s="1">
        <v>1500</v>
      </c>
      <c r="J340" s="1">
        <v>9000</v>
      </c>
      <c r="K340" s="1">
        <v>5400</v>
      </c>
      <c r="L340" s="1">
        <v>3600</v>
      </c>
    </row>
    <row r="341" spans="1:12" x14ac:dyDescent="0.3">
      <c r="A341" t="s">
        <v>386</v>
      </c>
      <c r="B341" s="3">
        <v>46270</v>
      </c>
      <c r="C341" t="s">
        <v>50</v>
      </c>
      <c r="D341" t="s">
        <v>22</v>
      </c>
      <c r="E341" t="s">
        <v>556</v>
      </c>
      <c r="F341" t="s">
        <v>28</v>
      </c>
      <c r="G341" t="s">
        <v>30</v>
      </c>
      <c r="H341" s="2">
        <v>4</v>
      </c>
      <c r="I341" s="1">
        <v>12000</v>
      </c>
      <c r="J341" s="1">
        <v>48000</v>
      </c>
      <c r="K341" s="1">
        <v>39360</v>
      </c>
      <c r="L341" s="1">
        <v>8640</v>
      </c>
    </row>
    <row r="342" spans="1:12" x14ac:dyDescent="0.3">
      <c r="A342" t="s">
        <v>387</v>
      </c>
      <c r="B342" s="3">
        <v>46271</v>
      </c>
      <c r="C342" t="s">
        <v>587</v>
      </c>
      <c r="D342" t="s">
        <v>20</v>
      </c>
      <c r="E342" t="s">
        <v>53</v>
      </c>
      <c r="F342" t="s">
        <v>551</v>
      </c>
      <c r="G342" t="s">
        <v>552</v>
      </c>
      <c r="H342" s="2">
        <v>8</v>
      </c>
      <c r="I342" s="1">
        <v>2500</v>
      </c>
      <c r="J342" s="1">
        <v>20000</v>
      </c>
      <c r="K342" s="1">
        <v>12000</v>
      </c>
      <c r="L342" s="1">
        <v>8000</v>
      </c>
    </row>
    <row r="343" spans="1:12" x14ac:dyDescent="0.3">
      <c r="A343" t="s">
        <v>388</v>
      </c>
      <c r="B343" s="3">
        <v>46271</v>
      </c>
      <c r="C343" t="s">
        <v>555</v>
      </c>
      <c r="D343" t="s">
        <v>20</v>
      </c>
      <c r="E343" t="s">
        <v>55</v>
      </c>
      <c r="F343" t="s">
        <v>548</v>
      </c>
      <c r="G343" t="s">
        <v>578</v>
      </c>
      <c r="H343" s="2">
        <v>4</v>
      </c>
      <c r="I343" s="1">
        <v>12000</v>
      </c>
      <c r="J343" s="1">
        <v>48000</v>
      </c>
      <c r="K343" s="1">
        <v>37440</v>
      </c>
      <c r="L343" s="1">
        <v>10560</v>
      </c>
    </row>
    <row r="344" spans="1:12" x14ac:dyDescent="0.3">
      <c r="A344" t="s">
        <v>389</v>
      </c>
      <c r="B344" s="3">
        <v>46272</v>
      </c>
      <c r="C344" t="s">
        <v>48</v>
      </c>
      <c r="D344" t="s">
        <v>22</v>
      </c>
      <c r="E344" t="s">
        <v>556</v>
      </c>
      <c r="F344" t="s">
        <v>553</v>
      </c>
      <c r="G344" t="s">
        <v>570</v>
      </c>
      <c r="H344" s="2">
        <v>5</v>
      </c>
      <c r="I344" s="1">
        <v>15000</v>
      </c>
      <c r="J344" s="1">
        <v>75000</v>
      </c>
      <c r="K344" s="1">
        <v>48750</v>
      </c>
      <c r="L344" s="1">
        <v>26250</v>
      </c>
    </row>
    <row r="345" spans="1:12" x14ac:dyDescent="0.3">
      <c r="A345" t="s">
        <v>390</v>
      </c>
      <c r="B345" s="3">
        <v>46273</v>
      </c>
      <c r="C345" t="s">
        <v>45</v>
      </c>
      <c r="D345" t="s">
        <v>20</v>
      </c>
      <c r="E345" t="s">
        <v>55</v>
      </c>
      <c r="F345" t="s">
        <v>553</v>
      </c>
      <c r="G345" t="s">
        <v>554</v>
      </c>
      <c r="H345" s="2">
        <v>8</v>
      </c>
      <c r="I345" s="1">
        <v>300</v>
      </c>
      <c r="J345" s="1">
        <v>2400</v>
      </c>
      <c r="K345" s="1">
        <v>1560</v>
      </c>
      <c r="L345" s="1">
        <v>840</v>
      </c>
    </row>
    <row r="346" spans="1:12" x14ac:dyDescent="0.3">
      <c r="A346" t="s">
        <v>391</v>
      </c>
      <c r="B346" s="3">
        <v>46273</v>
      </c>
      <c r="C346" t="s">
        <v>587</v>
      </c>
      <c r="D346" t="s">
        <v>22</v>
      </c>
      <c r="E346" t="s">
        <v>569</v>
      </c>
      <c r="F346" t="s">
        <v>553</v>
      </c>
      <c r="G346" t="s">
        <v>554</v>
      </c>
      <c r="H346" s="2">
        <v>1</v>
      </c>
      <c r="I346" s="1">
        <v>300</v>
      </c>
      <c r="J346" s="1">
        <v>300</v>
      </c>
      <c r="K346" s="1">
        <v>195</v>
      </c>
      <c r="L346" s="1">
        <v>105</v>
      </c>
    </row>
    <row r="347" spans="1:12" x14ac:dyDescent="0.3">
      <c r="A347" t="s">
        <v>392</v>
      </c>
      <c r="B347" s="3">
        <v>46274</v>
      </c>
      <c r="C347" t="s">
        <v>573</v>
      </c>
      <c r="D347" t="s">
        <v>22</v>
      </c>
      <c r="E347" t="s">
        <v>569</v>
      </c>
      <c r="F347" t="s">
        <v>27</v>
      </c>
      <c r="G347" t="s">
        <v>61</v>
      </c>
      <c r="H347" s="2">
        <v>4</v>
      </c>
      <c r="I347" s="1">
        <v>28000</v>
      </c>
      <c r="J347" s="1">
        <v>112000</v>
      </c>
      <c r="K347" s="1">
        <v>80640</v>
      </c>
      <c r="L347" s="1">
        <v>31360</v>
      </c>
    </row>
    <row r="348" spans="1:12" x14ac:dyDescent="0.3">
      <c r="A348" t="s">
        <v>393</v>
      </c>
      <c r="B348" s="3">
        <v>46275</v>
      </c>
      <c r="C348" t="s">
        <v>44</v>
      </c>
      <c r="D348" t="s">
        <v>20</v>
      </c>
      <c r="E348" t="s">
        <v>550</v>
      </c>
      <c r="F348" t="s">
        <v>548</v>
      </c>
      <c r="G348" t="s">
        <v>578</v>
      </c>
      <c r="H348" s="2">
        <v>5</v>
      </c>
      <c r="I348" s="1">
        <v>12000</v>
      </c>
      <c r="J348" s="1">
        <v>60000</v>
      </c>
      <c r="K348" s="1">
        <v>46800</v>
      </c>
      <c r="L348" s="1">
        <v>13200</v>
      </c>
    </row>
    <row r="349" spans="1:12" x14ac:dyDescent="0.3">
      <c r="A349" t="s">
        <v>394</v>
      </c>
      <c r="B349" s="3">
        <v>46276</v>
      </c>
      <c r="C349" t="s">
        <v>573</v>
      </c>
      <c r="D349" t="s">
        <v>22</v>
      </c>
      <c r="E349" t="s">
        <v>26</v>
      </c>
      <c r="F349" t="s">
        <v>548</v>
      </c>
      <c r="G349" t="s">
        <v>572</v>
      </c>
      <c r="H349" s="2">
        <v>4</v>
      </c>
      <c r="I349" s="1">
        <v>8000</v>
      </c>
      <c r="J349" s="1">
        <v>32000</v>
      </c>
      <c r="K349" s="1">
        <v>24960</v>
      </c>
      <c r="L349" s="1">
        <v>7040</v>
      </c>
    </row>
    <row r="350" spans="1:12" x14ac:dyDescent="0.3">
      <c r="A350" t="s">
        <v>395</v>
      </c>
      <c r="B350" s="3">
        <v>46276</v>
      </c>
      <c r="C350" t="s">
        <v>48</v>
      </c>
      <c r="D350" t="s">
        <v>22</v>
      </c>
      <c r="E350" t="s">
        <v>26</v>
      </c>
      <c r="F350" t="s">
        <v>27</v>
      </c>
      <c r="G350" t="s">
        <v>31</v>
      </c>
      <c r="H350" s="2">
        <v>6</v>
      </c>
      <c r="I350" s="1">
        <v>7500</v>
      </c>
      <c r="J350" s="1">
        <v>45000</v>
      </c>
      <c r="K350" s="1">
        <v>32400</v>
      </c>
      <c r="L350" s="1">
        <v>12600</v>
      </c>
    </row>
    <row r="351" spans="1:12" x14ac:dyDescent="0.3">
      <c r="A351" t="s">
        <v>396</v>
      </c>
      <c r="B351" s="3">
        <v>46277</v>
      </c>
      <c r="C351" t="s">
        <v>576</v>
      </c>
      <c r="D351" t="s">
        <v>20</v>
      </c>
      <c r="E351" t="s">
        <v>23</v>
      </c>
      <c r="F351" t="s">
        <v>551</v>
      </c>
      <c r="G351" t="s">
        <v>552</v>
      </c>
      <c r="H351" s="2">
        <v>5</v>
      </c>
      <c r="I351" s="1">
        <v>2500</v>
      </c>
      <c r="J351" s="1">
        <v>12500</v>
      </c>
      <c r="K351" s="1">
        <v>7500</v>
      </c>
      <c r="L351" s="1">
        <v>5000</v>
      </c>
    </row>
    <row r="352" spans="1:12" x14ac:dyDescent="0.3">
      <c r="A352" t="s">
        <v>397</v>
      </c>
      <c r="B352" s="3">
        <v>46278</v>
      </c>
      <c r="C352" t="s">
        <v>576</v>
      </c>
      <c r="D352" t="s">
        <v>565</v>
      </c>
      <c r="E352" t="s">
        <v>568</v>
      </c>
      <c r="F352" t="s">
        <v>28</v>
      </c>
      <c r="G352" t="s">
        <v>30</v>
      </c>
      <c r="H352" s="2">
        <v>6</v>
      </c>
      <c r="I352" s="1">
        <v>12000</v>
      </c>
      <c r="J352" s="1">
        <v>72000</v>
      </c>
      <c r="K352" s="1">
        <v>59040</v>
      </c>
      <c r="L352" s="1">
        <v>12960</v>
      </c>
    </row>
    <row r="353" spans="1:12" x14ac:dyDescent="0.3">
      <c r="A353" t="s">
        <v>398</v>
      </c>
      <c r="B353" s="3">
        <v>46279</v>
      </c>
      <c r="C353" t="s">
        <v>17</v>
      </c>
      <c r="D353" t="s">
        <v>565</v>
      </c>
      <c r="E353" t="s">
        <v>566</v>
      </c>
      <c r="F353" t="s">
        <v>27</v>
      </c>
      <c r="G353" t="s">
        <v>61</v>
      </c>
      <c r="H353" s="2">
        <v>3</v>
      </c>
      <c r="I353" s="1">
        <v>28000</v>
      </c>
      <c r="J353" s="1">
        <v>84000</v>
      </c>
      <c r="K353" s="1">
        <v>60480</v>
      </c>
      <c r="L353" s="1">
        <v>23520</v>
      </c>
    </row>
    <row r="354" spans="1:12" x14ac:dyDescent="0.3">
      <c r="A354" t="s">
        <v>399</v>
      </c>
      <c r="B354" s="3">
        <v>46279</v>
      </c>
      <c r="C354" t="s">
        <v>555</v>
      </c>
      <c r="D354" t="s">
        <v>21</v>
      </c>
      <c r="E354" t="s">
        <v>562</v>
      </c>
      <c r="F354" t="s">
        <v>560</v>
      </c>
      <c r="G354" t="s">
        <v>567</v>
      </c>
      <c r="H354" s="2">
        <v>6</v>
      </c>
      <c r="I354" s="1">
        <v>300</v>
      </c>
      <c r="J354" s="1">
        <v>1800</v>
      </c>
      <c r="K354" s="1">
        <v>990.00000000000011</v>
      </c>
      <c r="L354" s="1">
        <v>809.99999999999989</v>
      </c>
    </row>
    <row r="355" spans="1:12" x14ac:dyDescent="0.3">
      <c r="A355" t="s">
        <v>400</v>
      </c>
      <c r="B355" s="3">
        <v>46280</v>
      </c>
      <c r="C355" t="s">
        <v>47</v>
      </c>
      <c r="D355" t="s">
        <v>21</v>
      </c>
      <c r="E355" t="s">
        <v>562</v>
      </c>
      <c r="F355" t="s">
        <v>548</v>
      </c>
      <c r="G355" t="s">
        <v>572</v>
      </c>
      <c r="H355" s="2">
        <v>2</v>
      </c>
      <c r="I355" s="1">
        <v>8000</v>
      </c>
      <c r="J355" s="1">
        <v>16000</v>
      </c>
      <c r="K355" s="1">
        <v>12480</v>
      </c>
      <c r="L355" s="1">
        <v>3520</v>
      </c>
    </row>
    <row r="356" spans="1:12" x14ac:dyDescent="0.3">
      <c r="A356" t="s">
        <v>401</v>
      </c>
      <c r="B356" s="3">
        <v>46281</v>
      </c>
      <c r="C356" t="s">
        <v>18</v>
      </c>
      <c r="D356" t="s">
        <v>565</v>
      </c>
      <c r="E356" t="s">
        <v>571</v>
      </c>
      <c r="F356" t="s">
        <v>551</v>
      </c>
      <c r="G356" t="s">
        <v>580</v>
      </c>
      <c r="H356" s="2">
        <v>4</v>
      </c>
      <c r="I356" s="1">
        <v>1800</v>
      </c>
      <c r="J356" s="1">
        <v>7200</v>
      </c>
      <c r="K356" s="1">
        <v>4320</v>
      </c>
      <c r="L356" s="1">
        <v>2880</v>
      </c>
    </row>
    <row r="357" spans="1:12" x14ac:dyDescent="0.3">
      <c r="A357" t="s">
        <v>402</v>
      </c>
      <c r="B357" s="3">
        <v>46281</v>
      </c>
      <c r="C357" t="s">
        <v>46</v>
      </c>
      <c r="D357" t="s">
        <v>565</v>
      </c>
      <c r="E357" t="s">
        <v>568</v>
      </c>
      <c r="F357" t="s">
        <v>28</v>
      </c>
      <c r="G357" t="s">
        <v>60</v>
      </c>
      <c r="H357" s="2">
        <v>6</v>
      </c>
      <c r="I357" s="1">
        <v>2500</v>
      </c>
      <c r="J357" s="1">
        <v>15000</v>
      </c>
      <c r="K357" s="1">
        <v>12300</v>
      </c>
      <c r="L357" s="1">
        <v>2700</v>
      </c>
    </row>
    <row r="358" spans="1:12" x14ac:dyDescent="0.3">
      <c r="A358" t="s">
        <v>403</v>
      </c>
      <c r="B358" s="3">
        <v>46282</v>
      </c>
      <c r="C358" t="s">
        <v>50</v>
      </c>
      <c r="D358" t="s">
        <v>21</v>
      </c>
      <c r="E358" t="s">
        <v>562</v>
      </c>
      <c r="F358" t="s">
        <v>560</v>
      </c>
      <c r="G358" t="s">
        <v>561</v>
      </c>
      <c r="H358" s="2">
        <v>7</v>
      </c>
      <c r="I358" s="1">
        <v>400</v>
      </c>
      <c r="J358" s="1">
        <v>2800</v>
      </c>
      <c r="K358" s="1">
        <v>1540.0000000000002</v>
      </c>
      <c r="L358" s="1">
        <v>1259.9999999999998</v>
      </c>
    </row>
    <row r="359" spans="1:12" x14ac:dyDescent="0.3">
      <c r="A359" t="s">
        <v>404</v>
      </c>
      <c r="B359" s="3">
        <v>46283</v>
      </c>
      <c r="C359" t="s">
        <v>51</v>
      </c>
      <c r="D359" t="s">
        <v>565</v>
      </c>
      <c r="E359" t="s">
        <v>566</v>
      </c>
      <c r="F359" t="s">
        <v>560</v>
      </c>
      <c r="G359" t="s">
        <v>581</v>
      </c>
      <c r="H359" s="2">
        <v>3</v>
      </c>
      <c r="I359" s="1">
        <v>150</v>
      </c>
      <c r="J359" s="1">
        <v>450</v>
      </c>
      <c r="K359" s="1">
        <v>247.50000000000003</v>
      </c>
      <c r="L359" s="1">
        <v>202.49999999999997</v>
      </c>
    </row>
    <row r="360" spans="1:12" x14ac:dyDescent="0.3">
      <c r="A360" t="s">
        <v>405</v>
      </c>
      <c r="B360" s="3">
        <v>46284</v>
      </c>
      <c r="C360" t="s">
        <v>555</v>
      </c>
      <c r="D360" t="s">
        <v>20</v>
      </c>
      <c r="E360" t="s">
        <v>53</v>
      </c>
      <c r="F360" t="s">
        <v>551</v>
      </c>
      <c r="G360" t="s">
        <v>585</v>
      </c>
      <c r="H360" s="2">
        <v>3</v>
      </c>
      <c r="I360" s="1">
        <v>500</v>
      </c>
      <c r="J360" s="1">
        <v>1500</v>
      </c>
      <c r="K360" s="1">
        <v>900</v>
      </c>
      <c r="L360" s="1">
        <v>600</v>
      </c>
    </row>
    <row r="361" spans="1:12" x14ac:dyDescent="0.3">
      <c r="A361" t="s">
        <v>406</v>
      </c>
      <c r="B361" s="3">
        <v>46284</v>
      </c>
      <c r="C361" t="s">
        <v>573</v>
      </c>
      <c r="D361" t="s">
        <v>22</v>
      </c>
      <c r="E361" t="s">
        <v>54</v>
      </c>
      <c r="F361" t="s">
        <v>27</v>
      </c>
      <c r="G361" t="s">
        <v>31</v>
      </c>
      <c r="H361" s="2">
        <v>7</v>
      </c>
      <c r="I361" s="1">
        <v>7500</v>
      </c>
      <c r="J361" s="1">
        <v>52500</v>
      </c>
      <c r="K361" s="1">
        <v>37800</v>
      </c>
      <c r="L361" s="1">
        <v>14700</v>
      </c>
    </row>
    <row r="362" spans="1:12" x14ac:dyDescent="0.3">
      <c r="A362" t="s">
        <v>407</v>
      </c>
      <c r="B362" s="3">
        <v>46285</v>
      </c>
      <c r="C362" t="s">
        <v>564</v>
      </c>
      <c r="D362" t="s">
        <v>20</v>
      </c>
      <c r="E362" t="s">
        <v>53</v>
      </c>
      <c r="F362" t="s">
        <v>560</v>
      </c>
      <c r="G362" t="s">
        <v>581</v>
      </c>
      <c r="H362" s="2">
        <v>6</v>
      </c>
      <c r="I362" s="1">
        <v>150</v>
      </c>
      <c r="J362" s="1">
        <v>900</v>
      </c>
      <c r="K362" s="1">
        <v>495.00000000000006</v>
      </c>
      <c r="L362" s="1">
        <v>404.99999999999994</v>
      </c>
    </row>
    <row r="363" spans="1:12" x14ac:dyDescent="0.3">
      <c r="A363" t="s">
        <v>408</v>
      </c>
      <c r="B363" s="3">
        <v>46286</v>
      </c>
      <c r="C363" t="s">
        <v>576</v>
      </c>
      <c r="D363" t="s">
        <v>22</v>
      </c>
      <c r="E363" t="s">
        <v>54</v>
      </c>
      <c r="F363" t="s">
        <v>553</v>
      </c>
      <c r="G363" t="s">
        <v>577</v>
      </c>
      <c r="H363" s="2">
        <v>2</v>
      </c>
      <c r="I363" s="1">
        <v>250</v>
      </c>
      <c r="J363" s="1">
        <v>500</v>
      </c>
      <c r="K363" s="1">
        <v>325</v>
      </c>
      <c r="L363" s="1">
        <v>175</v>
      </c>
    </row>
    <row r="364" spans="1:12" x14ac:dyDescent="0.3">
      <c r="A364" t="s">
        <v>409</v>
      </c>
      <c r="B364" s="3">
        <v>46287</v>
      </c>
      <c r="C364" t="s">
        <v>17</v>
      </c>
      <c r="D364" t="s">
        <v>22</v>
      </c>
      <c r="E364" t="s">
        <v>556</v>
      </c>
      <c r="F364" t="s">
        <v>551</v>
      </c>
      <c r="G364" t="s">
        <v>558</v>
      </c>
      <c r="H364" s="2">
        <v>2</v>
      </c>
      <c r="I364" s="1">
        <v>1500</v>
      </c>
      <c r="J364" s="1">
        <v>3000</v>
      </c>
      <c r="K364" s="1">
        <v>1800</v>
      </c>
      <c r="L364" s="1">
        <v>1200</v>
      </c>
    </row>
    <row r="365" spans="1:12" x14ac:dyDescent="0.3">
      <c r="A365" t="s">
        <v>410</v>
      </c>
      <c r="B365" s="3">
        <v>46287</v>
      </c>
      <c r="C365" t="s">
        <v>564</v>
      </c>
      <c r="D365" t="s">
        <v>565</v>
      </c>
      <c r="E365" t="s">
        <v>571</v>
      </c>
      <c r="F365" t="s">
        <v>560</v>
      </c>
      <c r="G365" t="s">
        <v>581</v>
      </c>
      <c r="H365" s="2">
        <v>6</v>
      </c>
      <c r="I365" s="1">
        <v>150</v>
      </c>
      <c r="J365" s="1">
        <v>900</v>
      </c>
      <c r="K365" s="1">
        <v>495.00000000000006</v>
      </c>
      <c r="L365" s="1">
        <v>404.99999999999994</v>
      </c>
    </row>
    <row r="366" spans="1:12" x14ac:dyDescent="0.3">
      <c r="A366" t="s">
        <v>411</v>
      </c>
      <c r="B366" s="3">
        <v>46288</v>
      </c>
      <c r="C366" t="s">
        <v>51</v>
      </c>
      <c r="D366" t="s">
        <v>565</v>
      </c>
      <c r="E366" t="s">
        <v>582</v>
      </c>
      <c r="F366" t="s">
        <v>560</v>
      </c>
      <c r="G366" t="s">
        <v>575</v>
      </c>
      <c r="H366" s="2">
        <v>4</v>
      </c>
      <c r="I366" s="1">
        <v>200</v>
      </c>
      <c r="J366" s="1">
        <v>800</v>
      </c>
      <c r="K366" s="1">
        <v>440.00000000000006</v>
      </c>
      <c r="L366" s="1">
        <v>359.99999999999994</v>
      </c>
    </row>
    <row r="367" spans="1:12" x14ac:dyDescent="0.3">
      <c r="A367" t="s">
        <v>412</v>
      </c>
      <c r="B367" s="3">
        <v>46289</v>
      </c>
      <c r="C367" t="s">
        <v>547</v>
      </c>
      <c r="D367" t="s">
        <v>22</v>
      </c>
      <c r="E367" t="s">
        <v>569</v>
      </c>
      <c r="F367" t="s">
        <v>548</v>
      </c>
      <c r="G367" t="s">
        <v>572</v>
      </c>
      <c r="H367" s="2">
        <v>7</v>
      </c>
      <c r="I367" s="1">
        <v>8000</v>
      </c>
      <c r="J367" s="1">
        <v>56000</v>
      </c>
      <c r="K367" s="1">
        <v>43680</v>
      </c>
      <c r="L367" s="1">
        <v>12320</v>
      </c>
    </row>
    <row r="368" spans="1:12" x14ac:dyDescent="0.3">
      <c r="A368" t="s">
        <v>413</v>
      </c>
      <c r="B368" s="3">
        <v>46289</v>
      </c>
      <c r="C368" t="s">
        <v>17</v>
      </c>
      <c r="D368" t="s">
        <v>20</v>
      </c>
      <c r="E368" t="s">
        <v>550</v>
      </c>
      <c r="F368" t="s">
        <v>553</v>
      </c>
      <c r="G368" t="s">
        <v>557</v>
      </c>
      <c r="H368" s="2">
        <v>4</v>
      </c>
      <c r="I368" s="1">
        <v>600</v>
      </c>
      <c r="J368" s="1">
        <v>2400</v>
      </c>
      <c r="K368" s="1">
        <v>1560</v>
      </c>
      <c r="L368" s="1">
        <v>840</v>
      </c>
    </row>
    <row r="369" spans="1:12" x14ac:dyDescent="0.3">
      <c r="A369" t="s">
        <v>414</v>
      </c>
      <c r="B369" s="3">
        <v>46290</v>
      </c>
      <c r="C369" t="s">
        <v>46</v>
      </c>
      <c r="D369" t="s">
        <v>20</v>
      </c>
      <c r="E369" t="s">
        <v>53</v>
      </c>
      <c r="F369" t="s">
        <v>560</v>
      </c>
      <c r="G369" t="s">
        <v>561</v>
      </c>
      <c r="H369" s="2">
        <v>4</v>
      </c>
      <c r="I369" s="1">
        <v>400</v>
      </c>
      <c r="J369" s="1">
        <v>1600</v>
      </c>
      <c r="K369" s="1">
        <v>880.00000000000011</v>
      </c>
      <c r="L369" s="1">
        <v>719.99999999999989</v>
      </c>
    </row>
    <row r="370" spans="1:12" x14ac:dyDescent="0.3">
      <c r="A370" t="s">
        <v>415</v>
      </c>
      <c r="B370" s="3">
        <v>46291</v>
      </c>
      <c r="C370" t="s">
        <v>46</v>
      </c>
      <c r="D370" t="s">
        <v>22</v>
      </c>
      <c r="E370" t="s">
        <v>556</v>
      </c>
      <c r="F370" t="s">
        <v>548</v>
      </c>
      <c r="G370" t="s">
        <v>574</v>
      </c>
      <c r="H370" s="2">
        <v>4</v>
      </c>
      <c r="I370" s="1">
        <v>35000</v>
      </c>
      <c r="J370" s="1">
        <v>140000</v>
      </c>
      <c r="K370" s="1">
        <v>109200</v>
      </c>
      <c r="L370" s="1">
        <v>30800</v>
      </c>
    </row>
    <row r="371" spans="1:12" x14ac:dyDescent="0.3">
      <c r="A371" t="s">
        <v>416</v>
      </c>
      <c r="B371" s="3">
        <v>46292</v>
      </c>
      <c r="C371" t="s">
        <v>43</v>
      </c>
      <c r="D371" t="s">
        <v>22</v>
      </c>
      <c r="E371" t="s">
        <v>569</v>
      </c>
      <c r="F371" t="s">
        <v>560</v>
      </c>
      <c r="G371" t="s">
        <v>575</v>
      </c>
      <c r="H371" s="2">
        <v>7</v>
      </c>
      <c r="I371" s="1">
        <v>200</v>
      </c>
      <c r="J371" s="1">
        <v>1400</v>
      </c>
      <c r="K371" s="1">
        <v>770.00000000000011</v>
      </c>
      <c r="L371" s="1">
        <v>629.99999999999989</v>
      </c>
    </row>
    <row r="372" spans="1:12" x14ac:dyDescent="0.3">
      <c r="A372" t="s">
        <v>417</v>
      </c>
      <c r="B372" s="3">
        <v>46292</v>
      </c>
      <c r="C372" t="s">
        <v>48</v>
      </c>
      <c r="D372" t="s">
        <v>21</v>
      </c>
      <c r="E372" t="s">
        <v>562</v>
      </c>
      <c r="F372" t="s">
        <v>27</v>
      </c>
      <c r="G372" t="s">
        <v>29</v>
      </c>
      <c r="H372" s="2">
        <v>1</v>
      </c>
      <c r="I372" s="1">
        <v>4500</v>
      </c>
      <c r="J372" s="1">
        <v>4500</v>
      </c>
      <c r="K372" s="1">
        <v>3240</v>
      </c>
      <c r="L372" s="1">
        <v>1260</v>
      </c>
    </row>
    <row r="373" spans="1:12" x14ac:dyDescent="0.3">
      <c r="A373" t="s">
        <v>418</v>
      </c>
      <c r="B373" s="3">
        <v>46293</v>
      </c>
      <c r="C373" t="s">
        <v>43</v>
      </c>
      <c r="D373" t="s">
        <v>20</v>
      </c>
      <c r="E373" t="s">
        <v>53</v>
      </c>
      <c r="F373" t="s">
        <v>560</v>
      </c>
      <c r="G373" t="s">
        <v>581</v>
      </c>
      <c r="H373" s="2">
        <v>7</v>
      </c>
      <c r="I373" s="1">
        <v>150</v>
      </c>
      <c r="J373" s="1">
        <v>1050</v>
      </c>
      <c r="K373" s="1">
        <v>577.5</v>
      </c>
      <c r="L373" s="1">
        <v>472.5</v>
      </c>
    </row>
    <row r="374" spans="1:12" x14ac:dyDescent="0.3">
      <c r="A374" t="s">
        <v>419</v>
      </c>
      <c r="B374" s="3">
        <v>46294</v>
      </c>
      <c r="C374" t="s">
        <v>587</v>
      </c>
      <c r="D374" t="s">
        <v>20</v>
      </c>
      <c r="E374" t="s">
        <v>23</v>
      </c>
      <c r="F374" t="s">
        <v>553</v>
      </c>
      <c r="G374" t="s">
        <v>570</v>
      </c>
      <c r="H374" s="2">
        <v>8</v>
      </c>
      <c r="I374" s="1">
        <v>15000</v>
      </c>
      <c r="J374" s="1">
        <v>120000</v>
      </c>
      <c r="K374" s="1">
        <v>78000</v>
      </c>
      <c r="L374" s="1">
        <v>42000</v>
      </c>
    </row>
    <row r="375" spans="1:12" x14ac:dyDescent="0.3">
      <c r="A375" t="s">
        <v>420</v>
      </c>
      <c r="B375" s="3">
        <v>46295</v>
      </c>
      <c r="C375" t="s">
        <v>46</v>
      </c>
      <c r="D375" t="s">
        <v>22</v>
      </c>
      <c r="E375" t="s">
        <v>556</v>
      </c>
      <c r="F375" t="s">
        <v>560</v>
      </c>
      <c r="G375" t="s">
        <v>575</v>
      </c>
      <c r="H375" s="2">
        <v>2</v>
      </c>
      <c r="I375" s="1">
        <v>200</v>
      </c>
      <c r="J375" s="1">
        <v>400</v>
      </c>
      <c r="K375" s="1">
        <v>220.00000000000003</v>
      </c>
      <c r="L375" s="1">
        <v>179.99999999999997</v>
      </c>
    </row>
    <row r="376" spans="1:12" x14ac:dyDescent="0.3">
      <c r="A376" t="s">
        <v>421</v>
      </c>
      <c r="B376" s="3">
        <v>46295</v>
      </c>
      <c r="C376" t="s">
        <v>45</v>
      </c>
      <c r="D376" t="s">
        <v>21</v>
      </c>
      <c r="E376" t="s">
        <v>25</v>
      </c>
      <c r="F376" t="s">
        <v>28</v>
      </c>
      <c r="G376" t="s">
        <v>32</v>
      </c>
      <c r="H376" s="2">
        <v>8</v>
      </c>
      <c r="I376" s="1">
        <v>1800</v>
      </c>
      <c r="J376" s="1">
        <v>14400</v>
      </c>
      <c r="K376" s="1">
        <v>11808</v>
      </c>
      <c r="L376" s="1">
        <v>2592</v>
      </c>
    </row>
    <row r="377" spans="1:12" x14ac:dyDescent="0.3">
      <c r="A377" t="s">
        <v>422</v>
      </c>
      <c r="B377" s="3">
        <v>46296</v>
      </c>
      <c r="C377" t="s">
        <v>48</v>
      </c>
      <c r="D377" t="s">
        <v>21</v>
      </c>
      <c r="E377" t="s">
        <v>24</v>
      </c>
      <c r="F377" t="s">
        <v>28</v>
      </c>
      <c r="G377" t="s">
        <v>60</v>
      </c>
      <c r="H377" s="2">
        <v>7</v>
      </c>
      <c r="I377" s="1">
        <v>2500</v>
      </c>
      <c r="J377" s="1">
        <v>17500</v>
      </c>
      <c r="K377" s="1">
        <v>14350</v>
      </c>
      <c r="L377" s="1">
        <v>3150</v>
      </c>
    </row>
    <row r="378" spans="1:12" x14ac:dyDescent="0.3">
      <c r="A378" t="s">
        <v>423</v>
      </c>
      <c r="B378" s="3">
        <v>46297</v>
      </c>
      <c r="C378" t="s">
        <v>555</v>
      </c>
      <c r="D378" t="s">
        <v>22</v>
      </c>
      <c r="E378" t="s">
        <v>26</v>
      </c>
      <c r="F378" t="s">
        <v>560</v>
      </c>
      <c r="G378" t="s">
        <v>575</v>
      </c>
      <c r="H378" s="2">
        <v>8</v>
      </c>
      <c r="I378" s="1">
        <v>200</v>
      </c>
      <c r="J378" s="1">
        <v>1600</v>
      </c>
      <c r="K378" s="1">
        <v>880.00000000000011</v>
      </c>
      <c r="L378" s="1">
        <v>719.99999999999989</v>
      </c>
    </row>
    <row r="379" spans="1:12" x14ac:dyDescent="0.3">
      <c r="A379" t="s">
        <v>424</v>
      </c>
      <c r="B379" s="3">
        <v>46298</v>
      </c>
      <c r="C379" t="s">
        <v>47</v>
      </c>
      <c r="D379" t="s">
        <v>22</v>
      </c>
      <c r="E379" t="s">
        <v>569</v>
      </c>
      <c r="F379" t="s">
        <v>560</v>
      </c>
      <c r="G379" t="s">
        <v>584</v>
      </c>
      <c r="H379" s="2">
        <v>5</v>
      </c>
      <c r="I379" s="1">
        <v>250</v>
      </c>
      <c r="J379" s="1">
        <v>1250</v>
      </c>
      <c r="K379" s="1">
        <v>687.5</v>
      </c>
      <c r="L379" s="1">
        <v>562.5</v>
      </c>
    </row>
    <row r="380" spans="1:12" x14ac:dyDescent="0.3">
      <c r="A380" t="s">
        <v>425</v>
      </c>
      <c r="B380" s="3">
        <v>46298</v>
      </c>
      <c r="C380" t="s">
        <v>587</v>
      </c>
      <c r="D380" t="s">
        <v>22</v>
      </c>
      <c r="E380" t="s">
        <v>26</v>
      </c>
      <c r="F380" t="s">
        <v>553</v>
      </c>
      <c r="G380" t="s">
        <v>577</v>
      </c>
      <c r="H380" s="2">
        <v>2</v>
      </c>
      <c r="I380" s="1">
        <v>250</v>
      </c>
      <c r="J380" s="1">
        <v>500</v>
      </c>
      <c r="K380" s="1">
        <v>325</v>
      </c>
      <c r="L380" s="1">
        <v>175</v>
      </c>
    </row>
    <row r="381" spans="1:12" x14ac:dyDescent="0.3">
      <c r="A381" t="s">
        <v>426</v>
      </c>
      <c r="B381" s="3">
        <v>46299</v>
      </c>
      <c r="C381" t="s">
        <v>51</v>
      </c>
      <c r="D381" t="s">
        <v>565</v>
      </c>
      <c r="E381" t="s">
        <v>582</v>
      </c>
      <c r="F381" t="s">
        <v>28</v>
      </c>
      <c r="G381" t="s">
        <v>30</v>
      </c>
      <c r="H381" s="2">
        <v>3</v>
      </c>
      <c r="I381" s="1">
        <v>12000</v>
      </c>
      <c r="J381" s="1">
        <v>36000</v>
      </c>
      <c r="K381" s="1">
        <v>29520</v>
      </c>
      <c r="L381" s="1">
        <v>6480</v>
      </c>
    </row>
    <row r="382" spans="1:12" x14ac:dyDescent="0.3">
      <c r="A382" t="s">
        <v>427</v>
      </c>
      <c r="B382" s="3">
        <v>46300</v>
      </c>
      <c r="C382" t="s">
        <v>43</v>
      </c>
      <c r="D382" t="s">
        <v>21</v>
      </c>
      <c r="E382" t="s">
        <v>562</v>
      </c>
      <c r="F382" t="s">
        <v>551</v>
      </c>
      <c r="G382" t="s">
        <v>579</v>
      </c>
      <c r="H382" s="2">
        <v>3</v>
      </c>
      <c r="I382" s="1">
        <v>700</v>
      </c>
      <c r="J382" s="1">
        <v>2100</v>
      </c>
      <c r="K382" s="1">
        <v>1260</v>
      </c>
      <c r="L382" s="1">
        <v>840</v>
      </c>
    </row>
    <row r="383" spans="1:12" x14ac:dyDescent="0.3">
      <c r="A383" t="s">
        <v>428</v>
      </c>
      <c r="B383" s="3">
        <v>46300</v>
      </c>
      <c r="C383" t="s">
        <v>18</v>
      </c>
      <c r="D383" t="s">
        <v>565</v>
      </c>
      <c r="E383" t="s">
        <v>566</v>
      </c>
      <c r="F383" t="s">
        <v>28</v>
      </c>
      <c r="G383" t="s">
        <v>32</v>
      </c>
      <c r="H383" s="2">
        <v>1</v>
      </c>
      <c r="I383" s="1">
        <v>1800</v>
      </c>
      <c r="J383" s="1">
        <v>1800</v>
      </c>
      <c r="K383" s="1">
        <v>1476</v>
      </c>
      <c r="L383" s="1">
        <v>324</v>
      </c>
    </row>
    <row r="384" spans="1:12" x14ac:dyDescent="0.3">
      <c r="A384" t="s">
        <v>429</v>
      </c>
      <c r="B384" s="3">
        <v>46301</v>
      </c>
      <c r="C384" t="s">
        <v>51</v>
      </c>
      <c r="D384" t="s">
        <v>21</v>
      </c>
      <c r="E384" t="s">
        <v>559</v>
      </c>
      <c r="F384" t="s">
        <v>28</v>
      </c>
      <c r="G384" t="s">
        <v>56</v>
      </c>
      <c r="H384" s="2">
        <v>8</v>
      </c>
      <c r="I384" s="1">
        <v>55000</v>
      </c>
      <c r="J384" s="1">
        <v>440000</v>
      </c>
      <c r="K384" s="1">
        <v>360800</v>
      </c>
      <c r="L384" s="1">
        <v>79200</v>
      </c>
    </row>
    <row r="385" spans="1:12" x14ac:dyDescent="0.3">
      <c r="A385" t="s">
        <v>430</v>
      </c>
      <c r="B385" s="3">
        <v>46302</v>
      </c>
      <c r="C385" t="s">
        <v>50</v>
      </c>
      <c r="D385" t="s">
        <v>22</v>
      </c>
      <c r="E385" t="s">
        <v>26</v>
      </c>
      <c r="F385" t="s">
        <v>553</v>
      </c>
      <c r="G385" t="s">
        <v>554</v>
      </c>
      <c r="H385" s="2">
        <v>3</v>
      </c>
      <c r="I385" s="1">
        <v>300</v>
      </c>
      <c r="J385" s="1">
        <v>900</v>
      </c>
      <c r="K385" s="1">
        <v>585</v>
      </c>
      <c r="L385" s="1">
        <v>315</v>
      </c>
    </row>
    <row r="386" spans="1:12" x14ac:dyDescent="0.3">
      <c r="A386" t="s">
        <v>431</v>
      </c>
      <c r="B386" s="3">
        <v>46303</v>
      </c>
      <c r="C386" t="s">
        <v>46</v>
      </c>
      <c r="D386" t="s">
        <v>20</v>
      </c>
      <c r="E386" t="s">
        <v>55</v>
      </c>
      <c r="F386" t="s">
        <v>560</v>
      </c>
      <c r="G386" t="s">
        <v>561</v>
      </c>
      <c r="H386" s="2">
        <v>4</v>
      </c>
      <c r="I386" s="1">
        <v>400</v>
      </c>
      <c r="J386" s="1">
        <v>1600</v>
      </c>
      <c r="K386" s="1">
        <v>880.00000000000011</v>
      </c>
      <c r="L386" s="1">
        <v>719.99999999999989</v>
      </c>
    </row>
    <row r="387" spans="1:12" x14ac:dyDescent="0.3">
      <c r="A387" t="s">
        <v>432</v>
      </c>
      <c r="B387" s="3">
        <v>46303</v>
      </c>
      <c r="C387" t="s">
        <v>17</v>
      </c>
      <c r="D387" t="s">
        <v>22</v>
      </c>
      <c r="E387" t="s">
        <v>26</v>
      </c>
      <c r="F387" t="s">
        <v>27</v>
      </c>
      <c r="G387" t="s">
        <v>57</v>
      </c>
      <c r="H387" s="2">
        <v>2</v>
      </c>
      <c r="I387" s="1">
        <v>8500</v>
      </c>
      <c r="J387" s="1">
        <v>17000</v>
      </c>
      <c r="K387" s="1">
        <v>12240</v>
      </c>
      <c r="L387" s="1">
        <v>4760</v>
      </c>
    </row>
    <row r="388" spans="1:12" x14ac:dyDescent="0.3">
      <c r="A388" t="s">
        <v>433</v>
      </c>
      <c r="B388" s="3">
        <v>46304</v>
      </c>
      <c r="C388" t="s">
        <v>48</v>
      </c>
      <c r="D388" t="s">
        <v>21</v>
      </c>
      <c r="E388" t="s">
        <v>559</v>
      </c>
      <c r="F388" t="s">
        <v>560</v>
      </c>
      <c r="G388" t="s">
        <v>575</v>
      </c>
      <c r="H388" s="2">
        <v>4</v>
      </c>
      <c r="I388" s="1">
        <v>200</v>
      </c>
      <c r="J388" s="1">
        <v>800</v>
      </c>
      <c r="K388" s="1">
        <v>440.00000000000006</v>
      </c>
      <c r="L388" s="1">
        <v>359.99999999999994</v>
      </c>
    </row>
    <row r="389" spans="1:12" x14ac:dyDescent="0.3">
      <c r="A389" t="s">
        <v>434</v>
      </c>
      <c r="B389" s="3">
        <v>46305</v>
      </c>
      <c r="C389" t="s">
        <v>555</v>
      </c>
      <c r="D389" t="s">
        <v>21</v>
      </c>
      <c r="E389" t="s">
        <v>25</v>
      </c>
      <c r="F389" t="s">
        <v>551</v>
      </c>
      <c r="G389" t="s">
        <v>585</v>
      </c>
      <c r="H389" s="2">
        <v>4</v>
      </c>
      <c r="I389" s="1">
        <v>500</v>
      </c>
      <c r="J389" s="1">
        <v>2000</v>
      </c>
      <c r="K389" s="1">
        <v>1200</v>
      </c>
      <c r="L389" s="1">
        <v>800</v>
      </c>
    </row>
    <row r="390" spans="1:12" x14ac:dyDescent="0.3">
      <c r="A390" t="s">
        <v>435</v>
      </c>
      <c r="B390" s="3">
        <v>46306</v>
      </c>
      <c r="C390" t="s">
        <v>52</v>
      </c>
      <c r="D390" t="s">
        <v>22</v>
      </c>
      <c r="E390" t="s">
        <v>556</v>
      </c>
      <c r="F390" t="s">
        <v>551</v>
      </c>
      <c r="G390" t="s">
        <v>579</v>
      </c>
      <c r="H390" s="2">
        <v>4</v>
      </c>
      <c r="I390" s="1">
        <v>700</v>
      </c>
      <c r="J390" s="1">
        <v>2800</v>
      </c>
      <c r="K390" s="1">
        <v>1680</v>
      </c>
      <c r="L390" s="1">
        <v>1120</v>
      </c>
    </row>
    <row r="391" spans="1:12" x14ac:dyDescent="0.3">
      <c r="A391" t="s">
        <v>436</v>
      </c>
      <c r="B391" s="3">
        <v>46306</v>
      </c>
      <c r="C391" t="s">
        <v>555</v>
      </c>
      <c r="D391" t="s">
        <v>565</v>
      </c>
      <c r="E391" t="s">
        <v>566</v>
      </c>
      <c r="F391" t="s">
        <v>551</v>
      </c>
      <c r="G391" t="s">
        <v>558</v>
      </c>
      <c r="H391" s="2">
        <v>1</v>
      </c>
      <c r="I391" s="1">
        <v>1500</v>
      </c>
      <c r="J391" s="1">
        <v>1500</v>
      </c>
      <c r="K391" s="1">
        <v>900</v>
      </c>
      <c r="L391" s="1">
        <v>600</v>
      </c>
    </row>
    <row r="392" spans="1:12" x14ac:dyDescent="0.3">
      <c r="A392" t="s">
        <v>437</v>
      </c>
      <c r="B392" s="3">
        <v>46307</v>
      </c>
      <c r="C392" t="s">
        <v>49</v>
      </c>
      <c r="D392" t="s">
        <v>22</v>
      </c>
      <c r="E392" t="s">
        <v>556</v>
      </c>
      <c r="F392" t="s">
        <v>551</v>
      </c>
      <c r="G392" t="s">
        <v>558</v>
      </c>
      <c r="H392" s="2">
        <v>5</v>
      </c>
      <c r="I392" s="1">
        <v>1500</v>
      </c>
      <c r="J392" s="1">
        <v>7500</v>
      </c>
      <c r="K392" s="1">
        <v>4500</v>
      </c>
      <c r="L392" s="1">
        <v>3000</v>
      </c>
    </row>
    <row r="393" spans="1:12" x14ac:dyDescent="0.3">
      <c r="A393" t="s">
        <v>438</v>
      </c>
      <c r="B393" s="3">
        <v>46308</v>
      </c>
      <c r="C393" t="s">
        <v>576</v>
      </c>
      <c r="D393" t="s">
        <v>22</v>
      </c>
      <c r="E393" t="s">
        <v>26</v>
      </c>
      <c r="F393" t="s">
        <v>553</v>
      </c>
      <c r="G393" t="s">
        <v>570</v>
      </c>
      <c r="H393" s="2">
        <v>3</v>
      </c>
      <c r="I393" s="1">
        <v>15000</v>
      </c>
      <c r="J393" s="1">
        <v>45000</v>
      </c>
      <c r="K393" s="1">
        <v>29250</v>
      </c>
      <c r="L393" s="1">
        <v>15750</v>
      </c>
    </row>
    <row r="394" spans="1:12" x14ac:dyDescent="0.3">
      <c r="A394" t="s">
        <v>439</v>
      </c>
      <c r="B394" s="3">
        <v>46308</v>
      </c>
      <c r="C394" t="s">
        <v>51</v>
      </c>
      <c r="D394" t="s">
        <v>20</v>
      </c>
      <c r="E394" t="s">
        <v>23</v>
      </c>
      <c r="F394" t="s">
        <v>553</v>
      </c>
      <c r="G394" t="s">
        <v>563</v>
      </c>
      <c r="H394" s="2">
        <v>2</v>
      </c>
      <c r="I394" s="1">
        <v>500</v>
      </c>
      <c r="J394" s="1">
        <v>1000</v>
      </c>
      <c r="K394" s="1">
        <v>650</v>
      </c>
      <c r="L394" s="1">
        <v>350</v>
      </c>
    </row>
    <row r="395" spans="1:12" x14ac:dyDescent="0.3">
      <c r="A395" t="s">
        <v>440</v>
      </c>
      <c r="B395" s="3">
        <v>46309</v>
      </c>
      <c r="C395" t="s">
        <v>44</v>
      </c>
      <c r="D395" t="s">
        <v>21</v>
      </c>
      <c r="E395" t="s">
        <v>559</v>
      </c>
      <c r="F395" t="s">
        <v>28</v>
      </c>
      <c r="G395" t="s">
        <v>56</v>
      </c>
      <c r="H395" s="2">
        <v>7</v>
      </c>
      <c r="I395" s="1">
        <v>55000</v>
      </c>
      <c r="J395" s="1">
        <v>385000</v>
      </c>
      <c r="K395" s="1">
        <v>315700</v>
      </c>
      <c r="L395" s="1">
        <v>69300</v>
      </c>
    </row>
    <row r="396" spans="1:12" x14ac:dyDescent="0.3">
      <c r="A396" t="s">
        <v>441</v>
      </c>
      <c r="B396" s="3">
        <v>46310</v>
      </c>
      <c r="C396" t="s">
        <v>44</v>
      </c>
      <c r="D396" t="s">
        <v>21</v>
      </c>
      <c r="E396" t="s">
        <v>559</v>
      </c>
      <c r="F396" t="s">
        <v>553</v>
      </c>
      <c r="G396" t="s">
        <v>554</v>
      </c>
      <c r="H396" s="2">
        <v>5</v>
      </c>
      <c r="I396" s="1">
        <v>300</v>
      </c>
      <c r="J396" s="1">
        <v>1500</v>
      </c>
      <c r="K396" s="1">
        <v>975</v>
      </c>
      <c r="L396" s="1">
        <v>525</v>
      </c>
    </row>
    <row r="397" spans="1:12" x14ac:dyDescent="0.3">
      <c r="A397" t="s">
        <v>442</v>
      </c>
      <c r="B397" s="3">
        <v>46311</v>
      </c>
      <c r="C397" t="s">
        <v>44</v>
      </c>
      <c r="D397" t="s">
        <v>565</v>
      </c>
      <c r="E397" t="s">
        <v>566</v>
      </c>
      <c r="F397" t="s">
        <v>548</v>
      </c>
      <c r="G397" t="s">
        <v>586</v>
      </c>
      <c r="H397" s="2">
        <v>3</v>
      </c>
      <c r="I397" s="1">
        <v>18000</v>
      </c>
      <c r="J397" s="1">
        <v>54000</v>
      </c>
      <c r="K397" s="1">
        <v>42120</v>
      </c>
      <c r="L397" s="1">
        <v>11880</v>
      </c>
    </row>
    <row r="398" spans="1:12" x14ac:dyDescent="0.3">
      <c r="A398" t="s">
        <v>443</v>
      </c>
      <c r="B398" s="3">
        <v>46311</v>
      </c>
      <c r="C398" t="s">
        <v>43</v>
      </c>
      <c r="D398" t="s">
        <v>20</v>
      </c>
      <c r="E398" t="s">
        <v>53</v>
      </c>
      <c r="F398" t="s">
        <v>553</v>
      </c>
      <c r="G398" t="s">
        <v>557</v>
      </c>
      <c r="H398" s="2">
        <v>3</v>
      </c>
      <c r="I398" s="1">
        <v>600</v>
      </c>
      <c r="J398" s="1">
        <v>1800</v>
      </c>
      <c r="K398" s="1">
        <v>1170</v>
      </c>
      <c r="L398" s="1">
        <v>630</v>
      </c>
    </row>
    <row r="399" spans="1:12" x14ac:dyDescent="0.3">
      <c r="A399" t="s">
        <v>444</v>
      </c>
      <c r="B399" s="3">
        <v>46312</v>
      </c>
      <c r="C399" t="s">
        <v>587</v>
      </c>
      <c r="D399" t="s">
        <v>20</v>
      </c>
      <c r="E399" t="s">
        <v>53</v>
      </c>
      <c r="F399" t="s">
        <v>28</v>
      </c>
      <c r="G399" t="s">
        <v>32</v>
      </c>
      <c r="H399" s="2">
        <v>8</v>
      </c>
      <c r="I399" s="1">
        <v>1800</v>
      </c>
      <c r="J399" s="1">
        <v>14400</v>
      </c>
      <c r="K399" s="1">
        <v>11808</v>
      </c>
      <c r="L399" s="1">
        <v>2592</v>
      </c>
    </row>
    <row r="400" spans="1:12" x14ac:dyDescent="0.3">
      <c r="A400" t="s">
        <v>445</v>
      </c>
      <c r="B400" s="3">
        <v>46313</v>
      </c>
      <c r="C400" t="s">
        <v>47</v>
      </c>
      <c r="D400" t="s">
        <v>22</v>
      </c>
      <c r="E400" t="s">
        <v>569</v>
      </c>
      <c r="F400" t="s">
        <v>27</v>
      </c>
      <c r="G400" t="s">
        <v>61</v>
      </c>
      <c r="H400" s="2">
        <v>4</v>
      </c>
      <c r="I400" s="1">
        <v>28000</v>
      </c>
      <c r="J400" s="1">
        <v>112000</v>
      </c>
      <c r="K400" s="1">
        <v>80640</v>
      </c>
      <c r="L400" s="1">
        <v>31360</v>
      </c>
    </row>
    <row r="401" spans="1:12" x14ac:dyDescent="0.3">
      <c r="A401" t="s">
        <v>446</v>
      </c>
      <c r="B401" s="3">
        <v>46314</v>
      </c>
      <c r="C401" t="s">
        <v>51</v>
      </c>
      <c r="D401" t="s">
        <v>21</v>
      </c>
      <c r="E401" t="s">
        <v>24</v>
      </c>
      <c r="F401" t="s">
        <v>28</v>
      </c>
      <c r="G401" t="s">
        <v>60</v>
      </c>
      <c r="H401" s="2">
        <v>2</v>
      </c>
      <c r="I401" s="1">
        <v>2500</v>
      </c>
      <c r="J401" s="1">
        <v>5000</v>
      </c>
      <c r="K401" s="1">
        <v>4100</v>
      </c>
      <c r="L401" s="1">
        <v>900</v>
      </c>
    </row>
    <row r="402" spans="1:12" x14ac:dyDescent="0.3">
      <c r="A402" t="s">
        <v>447</v>
      </c>
      <c r="B402" s="3">
        <v>46314</v>
      </c>
      <c r="C402" t="s">
        <v>18</v>
      </c>
      <c r="D402" t="s">
        <v>22</v>
      </c>
      <c r="E402" t="s">
        <v>54</v>
      </c>
      <c r="F402" t="s">
        <v>548</v>
      </c>
      <c r="G402" t="s">
        <v>578</v>
      </c>
      <c r="H402" s="2">
        <v>6</v>
      </c>
      <c r="I402" s="1">
        <v>12000</v>
      </c>
      <c r="J402" s="1">
        <v>72000</v>
      </c>
      <c r="K402" s="1">
        <v>56160</v>
      </c>
      <c r="L402" s="1">
        <v>15840</v>
      </c>
    </row>
    <row r="403" spans="1:12" x14ac:dyDescent="0.3">
      <c r="A403" t="s">
        <v>448</v>
      </c>
      <c r="B403" s="3">
        <v>46315</v>
      </c>
      <c r="C403" t="s">
        <v>44</v>
      </c>
      <c r="D403" t="s">
        <v>22</v>
      </c>
      <c r="E403" t="s">
        <v>569</v>
      </c>
      <c r="F403" t="s">
        <v>560</v>
      </c>
      <c r="G403" t="s">
        <v>584</v>
      </c>
      <c r="H403" s="2">
        <v>3</v>
      </c>
      <c r="I403" s="1">
        <v>250</v>
      </c>
      <c r="J403" s="1">
        <v>750</v>
      </c>
      <c r="K403" s="1">
        <v>412.50000000000006</v>
      </c>
      <c r="L403" s="1">
        <v>337.49999999999994</v>
      </c>
    </row>
    <row r="404" spans="1:12" x14ac:dyDescent="0.3">
      <c r="A404" t="s">
        <v>449</v>
      </c>
      <c r="B404" s="3">
        <v>46316</v>
      </c>
      <c r="C404" t="s">
        <v>573</v>
      </c>
      <c r="D404" t="s">
        <v>21</v>
      </c>
      <c r="E404" t="s">
        <v>24</v>
      </c>
      <c r="F404" t="s">
        <v>28</v>
      </c>
      <c r="G404" t="s">
        <v>32</v>
      </c>
      <c r="H404" s="2">
        <v>8</v>
      </c>
      <c r="I404" s="1">
        <v>1800</v>
      </c>
      <c r="J404" s="1">
        <v>14400</v>
      </c>
      <c r="K404" s="1">
        <v>11808</v>
      </c>
      <c r="L404" s="1">
        <v>2592</v>
      </c>
    </row>
    <row r="405" spans="1:12" x14ac:dyDescent="0.3">
      <c r="A405" t="s">
        <v>450</v>
      </c>
      <c r="B405" s="3">
        <v>46316</v>
      </c>
      <c r="C405" t="s">
        <v>47</v>
      </c>
      <c r="D405" t="s">
        <v>20</v>
      </c>
      <c r="E405" t="s">
        <v>23</v>
      </c>
      <c r="F405" t="s">
        <v>27</v>
      </c>
      <c r="G405" t="s">
        <v>29</v>
      </c>
      <c r="H405" s="2">
        <v>2</v>
      </c>
      <c r="I405" s="1">
        <v>4500</v>
      </c>
      <c r="J405" s="1">
        <v>9000</v>
      </c>
      <c r="K405" s="1">
        <v>6480</v>
      </c>
      <c r="L405" s="1">
        <v>2520</v>
      </c>
    </row>
    <row r="406" spans="1:12" x14ac:dyDescent="0.3">
      <c r="A406" t="s">
        <v>451</v>
      </c>
      <c r="B406" s="3">
        <v>46317</v>
      </c>
      <c r="C406" t="s">
        <v>48</v>
      </c>
      <c r="D406" t="s">
        <v>21</v>
      </c>
      <c r="E406" t="s">
        <v>559</v>
      </c>
      <c r="F406" t="s">
        <v>548</v>
      </c>
      <c r="G406" t="s">
        <v>586</v>
      </c>
      <c r="H406" s="2">
        <v>5</v>
      </c>
      <c r="I406" s="1">
        <v>18000</v>
      </c>
      <c r="J406" s="1">
        <v>90000</v>
      </c>
      <c r="K406" s="1">
        <v>70200</v>
      </c>
      <c r="L406" s="1">
        <v>19800</v>
      </c>
    </row>
    <row r="407" spans="1:12" x14ac:dyDescent="0.3">
      <c r="A407" t="s">
        <v>452</v>
      </c>
      <c r="B407" s="3">
        <v>46318</v>
      </c>
      <c r="C407" t="s">
        <v>547</v>
      </c>
      <c r="D407" t="s">
        <v>20</v>
      </c>
      <c r="E407" t="s">
        <v>550</v>
      </c>
      <c r="F407" t="s">
        <v>28</v>
      </c>
      <c r="G407" t="s">
        <v>60</v>
      </c>
      <c r="H407" s="2">
        <v>5</v>
      </c>
      <c r="I407" s="1">
        <v>2500</v>
      </c>
      <c r="J407" s="1">
        <v>12500</v>
      </c>
      <c r="K407" s="1">
        <v>10250</v>
      </c>
      <c r="L407" s="1">
        <v>2250</v>
      </c>
    </row>
    <row r="408" spans="1:12" x14ac:dyDescent="0.3">
      <c r="A408" t="s">
        <v>453</v>
      </c>
      <c r="B408" s="3">
        <v>46319</v>
      </c>
      <c r="C408" t="s">
        <v>45</v>
      </c>
      <c r="D408" t="s">
        <v>22</v>
      </c>
      <c r="E408" t="s">
        <v>556</v>
      </c>
      <c r="F408" t="s">
        <v>27</v>
      </c>
      <c r="G408" t="s">
        <v>31</v>
      </c>
      <c r="H408" s="2">
        <v>1</v>
      </c>
      <c r="I408" s="1">
        <v>7500</v>
      </c>
      <c r="J408" s="1">
        <v>7500</v>
      </c>
      <c r="K408" s="1">
        <v>5400</v>
      </c>
      <c r="L408" s="1">
        <v>2100</v>
      </c>
    </row>
    <row r="409" spans="1:12" x14ac:dyDescent="0.3">
      <c r="A409" t="s">
        <v>454</v>
      </c>
      <c r="B409" s="3">
        <v>46319</v>
      </c>
      <c r="C409" t="s">
        <v>19</v>
      </c>
      <c r="D409" t="s">
        <v>21</v>
      </c>
      <c r="E409" t="s">
        <v>559</v>
      </c>
      <c r="F409" t="s">
        <v>551</v>
      </c>
      <c r="G409" t="s">
        <v>579</v>
      </c>
      <c r="H409" s="2">
        <v>2</v>
      </c>
      <c r="I409" s="1">
        <v>700</v>
      </c>
      <c r="J409" s="1">
        <v>1400</v>
      </c>
      <c r="K409" s="1">
        <v>840</v>
      </c>
      <c r="L409" s="1">
        <v>560</v>
      </c>
    </row>
    <row r="410" spans="1:12" x14ac:dyDescent="0.3">
      <c r="A410" t="s">
        <v>455</v>
      </c>
      <c r="B410" s="3">
        <v>46320</v>
      </c>
      <c r="C410" t="s">
        <v>555</v>
      </c>
      <c r="D410" t="s">
        <v>22</v>
      </c>
      <c r="E410" t="s">
        <v>556</v>
      </c>
      <c r="F410" t="s">
        <v>27</v>
      </c>
      <c r="G410" t="s">
        <v>31</v>
      </c>
      <c r="H410" s="2">
        <v>6</v>
      </c>
      <c r="I410" s="1">
        <v>7500</v>
      </c>
      <c r="J410" s="1">
        <v>45000</v>
      </c>
      <c r="K410" s="1">
        <v>32400</v>
      </c>
      <c r="L410" s="1">
        <v>12600</v>
      </c>
    </row>
    <row r="411" spans="1:12" x14ac:dyDescent="0.3">
      <c r="A411" t="s">
        <v>456</v>
      </c>
      <c r="B411" s="3">
        <v>46321</v>
      </c>
      <c r="C411" t="s">
        <v>583</v>
      </c>
      <c r="D411" t="s">
        <v>20</v>
      </c>
      <c r="E411" t="s">
        <v>53</v>
      </c>
      <c r="F411" t="s">
        <v>553</v>
      </c>
      <c r="G411" t="s">
        <v>570</v>
      </c>
      <c r="H411" s="2">
        <v>6</v>
      </c>
      <c r="I411" s="1">
        <v>15000</v>
      </c>
      <c r="J411" s="1">
        <v>90000</v>
      </c>
      <c r="K411" s="1">
        <v>58500</v>
      </c>
      <c r="L411" s="1">
        <v>31500</v>
      </c>
    </row>
    <row r="412" spans="1:12" x14ac:dyDescent="0.3">
      <c r="A412" t="s">
        <v>457</v>
      </c>
      <c r="B412" s="3">
        <v>46322</v>
      </c>
      <c r="C412" t="s">
        <v>573</v>
      </c>
      <c r="D412" t="s">
        <v>565</v>
      </c>
      <c r="E412" t="s">
        <v>566</v>
      </c>
      <c r="F412" t="s">
        <v>27</v>
      </c>
      <c r="G412" t="s">
        <v>31</v>
      </c>
      <c r="H412" s="2">
        <v>1</v>
      </c>
      <c r="I412" s="1">
        <v>7500</v>
      </c>
      <c r="J412" s="1">
        <v>7500</v>
      </c>
      <c r="K412" s="1">
        <v>5400</v>
      </c>
      <c r="L412" s="1">
        <v>2100</v>
      </c>
    </row>
    <row r="413" spans="1:12" x14ac:dyDescent="0.3">
      <c r="A413" t="s">
        <v>458</v>
      </c>
      <c r="B413" s="3">
        <v>46322</v>
      </c>
      <c r="C413" t="s">
        <v>46</v>
      </c>
      <c r="D413" t="s">
        <v>21</v>
      </c>
      <c r="E413" t="s">
        <v>562</v>
      </c>
      <c r="F413" t="s">
        <v>553</v>
      </c>
      <c r="G413" t="s">
        <v>563</v>
      </c>
      <c r="H413" s="2">
        <v>7</v>
      </c>
      <c r="I413" s="1">
        <v>500</v>
      </c>
      <c r="J413" s="1">
        <v>3500</v>
      </c>
      <c r="K413" s="1">
        <v>2275</v>
      </c>
      <c r="L413" s="1">
        <v>1225</v>
      </c>
    </row>
    <row r="414" spans="1:12" x14ac:dyDescent="0.3">
      <c r="A414" t="s">
        <v>459</v>
      </c>
      <c r="B414" s="3">
        <v>46323</v>
      </c>
      <c r="C414" t="s">
        <v>43</v>
      </c>
      <c r="D414" t="s">
        <v>565</v>
      </c>
      <c r="E414" t="s">
        <v>571</v>
      </c>
      <c r="F414" t="s">
        <v>548</v>
      </c>
      <c r="G414" t="s">
        <v>572</v>
      </c>
      <c r="H414" s="2">
        <v>7</v>
      </c>
      <c r="I414" s="1">
        <v>8000</v>
      </c>
      <c r="J414" s="1">
        <v>56000</v>
      </c>
      <c r="K414" s="1">
        <v>43680</v>
      </c>
      <c r="L414" s="1">
        <v>12320</v>
      </c>
    </row>
    <row r="415" spans="1:12" x14ac:dyDescent="0.3">
      <c r="A415" t="s">
        <v>460</v>
      </c>
      <c r="B415" s="3">
        <v>46324</v>
      </c>
      <c r="C415" t="s">
        <v>555</v>
      </c>
      <c r="D415" t="s">
        <v>22</v>
      </c>
      <c r="E415" t="s">
        <v>569</v>
      </c>
      <c r="F415" t="s">
        <v>553</v>
      </c>
      <c r="G415" t="s">
        <v>570</v>
      </c>
      <c r="H415" s="2">
        <v>3</v>
      </c>
      <c r="I415" s="1">
        <v>15000</v>
      </c>
      <c r="J415" s="1">
        <v>45000</v>
      </c>
      <c r="K415" s="1">
        <v>29250</v>
      </c>
      <c r="L415" s="1">
        <v>15750</v>
      </c>
    </row>
    <row r="416" spans="1:12" x14ac:dyDescent="0.3">
      <c r="A416" t="s">
        <v>461</v>
      </c>
      <c r="B416" s="3">
        <v>46324</v>
      </c>
      <c r="C416" t="s">
        <v>43</v>
      </c>
      <c r="D416" t="s">
        <v>22</v>
      </c>
      <c r="E416" t="s">
        <v>556</v>
      </c>
      <c r="F416" t="s">
        <v>28</v>
      </c>
      <c r="G416" t="s">
        <v>56</v>
      </c>
      <c r="H416" s="2">
        <v>2</v>
      </c>
      <c r="I416" s="1">
        <v>55000</v>
      </c>
      <c r="J416" s="1">
        <v>110000</v>
      </c>
      <c r="K416" s="1">
        <v>90200</v>
      </c>
      <c r="L416" s="1">
        <v>19800</v>
      </c>
    </row>
    <row r="417" spans="1:12" x14ac:dyDescent="0.3">
      <c r="A417" t="s">
        <v>462</v>
      </c>
      <c r="B417" s="3">
        <v>46325</v>
      </c>
      <c r="C417" t="s">
        <v>45</v>
      </c>
      <c r="D417" t="s">
        <v>565</v>
      </c>
      <c r="E417" t="s">
        <v>566</v>
      </c>
      <c r="F417" t="s">
        <v>548</v>
      </c>
      <c r="G417" t="s">
        <v>574</v>
      </c>
      <c r="H417" s="2">
        <v>3</v>
      </c>
      <c r="I417" s="1">
        <v>35000</v>
      </c>
      <c r="J417" s="1">
        <v>105000</v>
      </c>
      <c r="K417" s="1">
        <v>81900</v>
      </c>
      <c r="L417" s="1">
        <v>23100</v>
      </c>
    </row>
    <row r="418" spans="1:12" x14ac:dyDescent="0.3">
      <c r="A418" t="s">
        <v>463</v>
      </c>
      <c r="B418" s="3">
        <v>46326</v>
      </c>
      <c r="C418" t="s">
        <v>573</v>
      </c>
      <c r="D418" t="s">
        <v>565</v>
      </c>
      <c r="E418" t="s">
        <v>571</v>
      </c>
      <c r="F418" t="s">
        <v>548</v>
      </c>
      <c r="G418" t="s">
        <v>549</v>
      </c>
      <c r="H418" s="2">
        <v>7</v>
      </c>
      <c r="I418" s="1">
        <v>40000</v>
      </c>
      <c r="J418" s="1">
        <v>280000</v>
      </c>
      <c r="K418" s="1">
        <v>218400</v>
      </c>
      <c r="L418" s="1">
        <v>61600</v>
      </c>
    </row>
    <row r="419" spans="1:12" x14ac:dyDescent="0.3">
      <c r="A419" t="s">
        <v>464</v>
      </c>
      <c r="B419" s="3">
        <v>46327</v>
      </c>
      <c r="C419" t="s">
        <v>576</v>
      </c>
      <c r="D419" t="s">
        <v>21</v>
      </c>
      <c r="E419" t="s">
        <v>25</v>
      </c>
      <c r="F419" t="s">
        <v>553</v>
      </c>
      <c r="G419" t="s">
        <v>577</v>
      </c>
      <c r="H419" s="2">
        <v>7</v>
      </c>
      <c r="I419" s="1">
        <v>250</v>
      </c>
      <c r="J419" s="1">
        <v>1750</v>
      </c>
      <c r="K419" s="1">
        <v>1137.5</v>
      </c>
      <c r="L419" s="1">
        <v>612.5</v>
      </c>
    </row>
    <row r="420" spans="1:12" x14ac:dyDescent="0.3">
      <c r="A420" t="s">
        <v>465</v>
      </c>
      <c r="B420" s="3">
        <v>46327</v>
      </c>
      <c r="C420" t="s">
        <v>51</v>
      </c>
      <c r="D420" t="s">
        <v>21</v>
      </c>
      <c r="E420" t="s">
        <v>559</v>
      </c>
      <c r="F420" t="s">
        <v>28</v>
      </c>
      <c r="G420" t="s">
        <v>58</v>
      </c>
      <c r="H420" s="2">
        <v>2</v>
      </c>
      <c r="I420" s="1">
        <v>900</v>
      </c>
      <c r="J420" s="1">
        <v>1800</v>
      </c>
      <c r="K420" s="1">
        <v>1476</v>
      </c>
      <c r="L420" s="1">
        <v>324</v>
      </c>
    </row>
    <row r="421" spans="1:12" x14ac:dyDescent="0.3">
      <c r="A421" t="s">
        <v>466</v>
      </c>
      <c r="B421" s="3">
        <v>46328</v>
      </c>
      <c r="C421" t="s">
        <v>51</v>
      </c>
      <c r="D421" t="s">
        <v>565</v>
      </c>
      <c r="E421" t="s">
        <v>582</v>
      </c>
      <c r="F421" t="s">
        <v>27</v>
      </c>
      <c r="G421" t="s">
        <v>61</v>
      </c>
      <c r="H421" s="2">
        <v>8</v>
      </c>
      <c r="I421" s="1">
        <v>28000</v>
      </c>
      <c r="J421" s="1">
        <v>224000</v>
      </c>
      <c r="K421" s="1">
        <v>161280</v>
      </c>
      <c r="L421" s="1">
        <v>62720</v>
      </c>
    </row>
    <row r="422" spans="1:12" x14ac:dyDescent="0.3">
      <c r="A422" t="s">
        <v>467</v>
      </c>
      <c r="B422" s="3">
        <v>46329</v>
      </c>
      <c r="C422" t="s">
        <v>564</v>
      </c>
      <c r="D422" t="s">
        <v>20</v>
      </c>
      <c r="E422" t="s">
        <v>53</v>
      </c>
      <c r="F422" t="s">
        <v>27</v>
      </c>
      <c r="G422" t="s">
        <v>61</v>
      </c>
      <c r="H422" s="2">
        <v>3</v>
      </c>
      <c r="I422" s="1">
        <v>28000</v>
      </c>
      <c r="J422" s="1">
        <v>84000</v>
      </c>
      <c r="K422" s="1">
        <v>60480</v>
      </c>
      <c r="L422" s="1">
        <v>23520</v>
      </c>
    </row>
    <row r="423" spans="1:12" x14ac:dyDescent="0.3">
      <c r="A423" t="s">
        <v>468</v>
      </c>
      <c r="B423" s="3">
        <v>46330</v>
      </c>
      <c r="C423" t="s">
        <v>44</v>
      </c>
      <c r="D423" t="s">
        <v>22</v>
      </c>
      <c r="E423" t="s">
        <v>556</v>
      </c>
      <c r="F423" t="s">
        <v>553</v>
      </c>
      <c r="G423" t="s">
        <v>577</v>
      </c>
      <c r="H423" s="2">
        <v>5</v>
      </c>
      <c r="I423" s="1">
        <v>250</v>
      </c>
      <c r="J423" s="1">
        <v>1250</v>
      </c>
      <c r="K423" s="1">
        <v>812.5</v>
      </c>
      <c r="L423" s="1">
        <v>437.5</v>
      </c>
    </row>
    <row r="424" spans="1:12" x14ac:dyDescent="0.3">
      <c r="A424" t="s">
        <v>469</v>
      </c>
      <c r="B424" s="3">
        <v>46330</v>
      </c>
      <c r="C424" t="s">
        <v>17</v>
      </c>
      <c r="D424" t="s">
        <v>565</v>
      </c>
      <c r="E424" t="s">
        <v>568</v>
      </c>
      <c r="F424" t="s">
        <v>27</v>
      </c>
      <c r="G424" t="s">
        <v>61</v>
      </c>
      <c r="H424" s="2">
        <v>8</v>
      </c>
      <c r="I424" s="1">
        <v>28000</v>
      </c>
      <c r="J424" s="1">
        <v>224000</v>
      </c>
      <c r="K424" s="1">
        <v>161280</v>
      </c>
      <c r="L424" s="1">
        <v>62720</v>
      </c>
    </row>
    <row r="425" spans="1:12" x14ac:dyDescent="0.3">
      <c r="A425" t="s">
        <v>470</v>
      </c>
      <c r="B425" s="3">
        <v>46331</v>
      </c>
      <c r="C425" t="s">
        <v>18</v>
      </c>
      <c r="D425" t="s">
        <v>20</v>
      </c>
      <c r="E425" t="s">
        <v>53</v>
      </c>
      <c r="F425" t="s">
        <v>28</v>
      </c>
      <c r="G425" t="s">
        <v>56</v>
      </c>
      <c r="H425" s="2">
        <v>3</v>
      </c>
      <c r="I425" s="1">
        <v>55000</v>
      </c>
      <c r="J425" s="1">
        <v>165000</v>
      </c>
      <c r="K425" s="1">
        <v>135300</v>
      </c>
      <c r="L425" s="1">
        <v>29700</v>
      </c>
    </row>
    <row r="426" spans="1:12" x14ac:dyDescent="0.3">
      <c r="A426" t="s">
        <v>471</v>
      </c>
      <c r="B426" s="3">
        <v>46332</v>
      </c>
      <c r="C426" t="s">
        <v>573</v>
      </c>
      <c r="D426" t="s">
        <v>21</v>
      </c>
      <c r="E426" t="s">
        <v>24</v>
      </c>
      <c r="F426" t="s">
        <v>548</v>
      </c>
      <c r="G426" t="s">
        <v>586</v>
      </c>
      <c r="H426" s="2">
        <v>4</v>
      </c>
      <c r="I426" s="1">
        <v>18000</v>
      </c>
      <c r="J426" s="1">
        <v>72000</v>
      </c>
      <c r="K426" s="1">
        <v>56160</v>
      </c>
      <c r="L426" s="1">
        <v>15840</v>
      </c>
    </row>
    <row r="427" spans="1:12" x14ac:dyDescent="0.3">
      <c r="A427" t="s">
        <v>472</v>
      </c>
      <c r="B427" s="3">
        <v>46333</v>
      </c>
      <c r="C427" t="s">
        <v>46</v>
      </c>
      <c r="D427" t="s">
        <v>20</v>
      </c>
      <c r="E427" t="s">
        <v>550</v>
      </c>
      <c r="F427" t="s">
        <v>27</v>
      </c>
      <c r="G427" t="s">
        <v>57</v>
      </c>
      <c r="H427" s="2">
        <v>4</v>
      </c>
      <c r="I427" s="1">
        <v>8500</v>
      </c>
      <c r="J427" s="1">
        <v>34000</v>
      </c>
      <c r="K427" s="1">
        <v>24480</v>
      </c>
      <c r="L427" s="1">
        <v>9520</v>
      </c>
    </row>
    <row r="428" spans="1:12" x14ac:dyDescent="0.3">
      <c r="A428" t="s">
        <v>473</v>
      </c>
      <c r="B428" s="3">
        <v>46333</v>
      </c>
      <c r="C428" t="s">
        <v>48</v>
      </c>
      <c r="D428" t="s">
        <v>21</v>
      </c>
      <c r="E428" t="s">
        <v>559</v>
      </c>
      <c r="F428" t="s">
        <v>553</v>
      </c>
      <c r="G428" t="s">
        <v>563</v>
      </c>
      <c r="H428" s="2">
        <v>8</v>
      </c>
      <c r="I428" s="1">
        <v>500</v>
      </c>
      <c r="J428" s="1">
        <v>4000</v>
      </c>
      <c r="K428" s="1">
        <v>2600</v>
      </c>
      <c r="L428" s="1">
        <v>1400</v>
      </c>
    </row>
    <row r="429" spans="1:12" x14ac:dyDescent="0.3">
      <c r="A429" t="s">
        <v>474</v>
      </c>
      <c r="B429" s="3">
        <v>46334</v>
      </c>
      <c r="C429" t="s">
        <v>19</v>
      </c>
      <c r="D429" t="s">
        <v>21</v>
      </c>
      <c r="E429" t="s">
        <v>25</v>
      </c>
      <c r="F429" t="s">
        <v>27</v>
      </c>
      <c r="G429" t="s">
        <v>59</v>
      </c>
      <c r="H429" s="2">
        <v>3</v>
      </c>
      <c r="I429" s="1">
        <v>6500</v>
      </c>
      <c r="J429" s="1">
        <v>19500</v>
      </c>
      <c r="K429" s="1">
        <v>14040</v>
      </c>
      <c r="L429" s="1">
        <v>5460</v>
      </c>
    </row>
    <row r="430" spans="1:12" x14ac:dyDescent="0.3">
      <c r="A430" t="s">
        <v>475</v>
      </c>
      <c r="B430" s="3">
        <v>46335</v>
      </c>
      <c r="C430" t="s">
        <v>547</v>
      </c>
      <c r="D430" t="s">
        <v>22</v>
      </c>
      <c r="E430" t="s">
        <v>54</v>
      </c>
      <c r="F430" t="s">
        <v>553</v>
      </c>
      <c r="G430" t="s">
        <v>577</v>
      </c>
      <c r="H430" s="2">
        <v>5</v>
      </c>
      <c r="I430" s="1">
        <v>250</v>
      </c>
      <c r="J430" s="1">
        <v>1250</v>
      </c>
      <c r="K430" s="1">
        <v>812.5</v>
      </c>
      <c r="L430" s="1">
        <v>437.5</v>
      </c>
    </row>
    <row r="431" spans="1:12" x14ac:dyDescent="0.3">
      <c r="A431" t="s">
        <v>476</v>
      </c>
      <c r="B431" s="3">
        <v>46335</v>
      </c>
      <c r="C431" t="s">
        <v>51</v>
      </c>
      <c r="D431" t="s">
        <v>22</v>
      </c>
      <c r="E431" t="s">
        <v>569</v>
      </c>
      <c r="F431" t="s">
        <v>551</v>
      </c>
      <c r="G431" t="s">
        <v>552</v>
      </c>
      <c r="H431" s="2">
        <v>3</v>
      </c>
      <c r="I431" s="1">
        <v>2500</v>
      </c>
      <c r="J431" s="1">
        <v>7500</v>
      </c>
      <c r="K431" s="1">
        <v>4500</v>
      </c>
      <c r="L431" s="1">
        <v>3000</v>
      </c>
    </row>
    <row r="432" spans="1:12" x14ac:dyDescent="0.3">
      <c r="A432" t="s">
        <v>477</v>
      </c>
      <c r="B432" s="3">
        <v>46336</v>
      </c>
      <c r="C432" t="s">
        <v>52</v>
      </c>
      <c r="D432" t="s">
        <v>565</v>
      </c>
      <c r="E432" t="s">
        <v>566</v>
      </c>
      <c r="F432" t="s">
        <v>27</v>
      </c>
      <c r="G432" t="s">
        <v>31</v>
      </c>
      <c r="H432" s="2">
        <v>6</v>
      </c>
      <c r="I432" s="1">
        <v>7500</v>
      </c>
      <c r="J432" s="1">
        <v>45000</v>
      </c>
      <c r="K432" s="1">
        <v>32400</v>
      </c>
      <c r="L432" s="1">
        <v>12600</v>
      </c>
    </row>
    <row r="433" spans="1:12" x14ac:dyDescent="0.3">
      <c r="A433" t="s">
        <v>478</v>
      </c>
      <c r="B433" s="3">
        <v>46337</v>
      </c>
      <c r="C433" t="s">
        <v>45</v>
      </c>
      <c r="D433" t="s">
        <v>20</v>
      </c>
      <c r="E433" t="s">
        <v>55</v>
      </c>
      <c r="F433" t="s">
        <v>553</v>
      </c>
      <c r="G433" t="s">
        <v>563</v>
      </c>
      <c r="H433" s="2">
        <v>3</v>
      </c>
      <c r="I433" s="1">
        <v>500</v>
      </c>
      <c r="J433" s="1">
        <v>1500</v>
      </c>
      <c r="K433" s="1">
        <v>975</v>
      </c>
      <c r="L433" s="1">
        <v>525</v>
      </c>
    </row>
    <row r="434" spans="1:12" x14ac:dyDescent="0.3">
      <c r="A434" t="s">
        <v>479</v>
      </c>
      <c r="B434" s="3">
        <v>46338</v>
      </c>
      <c r="C434" t="s">
        <v>18</v>
      </c>
      <c r="D434" t="s">
        <v>21</v>
      </c>
      <c r="E434" t="s">
        <v>559</v>
      </c>
      <c r="F434" t="s">
        <v>548</v>
      </c>
      <c r="G434" t="s">
        <v>578</v>
      </c>
      <c r="H434" s="2">
        <v>1</v>
      </c>
      <c r="I434" s="1">
        <v>12000</v>
      </c>
      <c r="J434" s="1">
        <v>12000</v>
      </c>
      <c r="K434" s="1">
        <v>9360</v>
      </c>
      <c r="L434" s="1">
        <v>2640</v>
      </c>
    </row>
    <row r="435" spans="1:12" x14ac:dyDescent="0.3">
      <c r="A435" t="s">
        <v>480</v>
      </c>
      <c r="B435" s="3">
        <v>46338</v>
      </c>
      <c r="C435" t="s">
        <v>587</v>
      </c>
      <c r="D435" t="s">
        <v>22</v>
      </c>
      <c r="E435" t="s">
        <v>54</v>
      </c>
      <c r="F435" t="s">
        <v>28</v>
      </c>
      <c r="G435" t="s">
        <v>32</v>
      </c>
      <c r="H435" s="2">
        <v>2</v>
      </c>
      <c r="I435" s="1">
        <v>1800</v>
      </c>
      <c r="J435" s="1">
        <v>3600</v>
      </c>
      <c r="K435" s="1">
        <v>2952</v>
      </c>
      <c r="L435" s="1">
        <v>648</v>
      </c>
    </row>
    <row r="436" spans="1:12" x14ac:dyDescent="0.3">
      <c r="A436" t="s">
        <v>481</v>
      </c>
      <c r="B436" s="3">
        <v>46339</v>
      </c>
      <c r="C436" t="s">
        <v>52</v>
      </c>
      <c r="D436" t="s">
        <v>21</v>
      </c>
      <c r="E436" t="s">
        <v>24</v>
      </c>
      <c r="F436" t="s">
        <v>560</v>
      </c>
      <c r="G436" t="s">
        <v>581</v>
      </c>
      <c r="H436" s="2">
        <v>4</v>
      </c>
      <c r="I436" s="1">
        <v>150</v>
      </c>
      <c r="J436" s="1">
        <v>600</v>
      </c>
      <c r="K436" s="1">
        <v>330</v>
      </c>
      <c r="L436" s="1">
        <v>270</v>
      </c>
    </row>
    <row r="437" spans="1:12" x14ac:dyDescent="0.3">
      <c r="A437" t="s">
        <v>482</v>
      </c>
      <c r="B437" s="3">
        <v>46340</v>
      </c>
      <c r="C437" t="s">
        <v>573</v>
      </c>
      <c r="D437" t="s">
        <v>565</v>
      </c>
      <c r="E437" t="s">
        <v>568</v>
      </c>
      <c r="F437" t="s">
        <v>551</v>
      </c>
      <c r="G437" t="s">
        <v>558</v>
      </c>
      <c r="H437" s="2">
        <v>8</v>
      </c>
      <c r="I437" s="1">
        <v>1500</v>
      </c>
      <c r="J437" s="1">
        <v>12000</v>
      </c>
      <c r="K437" s="1">
        <v>7200</v>
      </c>
      <c r="L437" s="1">
        <v>4800</v>
      </c>
    </row>
    <row r="438" spans="1:12" x14ac:dyDescent="0.3">
      <c r="A438" t="s">
        <v>483</v>
      </c>
      <c r="B438" s="3">
        <v>46341</v>
      </c>
      <c r="C438" t="s">
        <v>52</v>
      </c>
      <c r="D438" t="s">
        <v>22</v>
      </c>
      <c r="E438" t="s">
        <v>556</v>
      </c>
      <c r="F438" t="s">
        <v>27</v>
      </c>
      <c r="G438" t="s">
        <v>57</v>
      </c>
      <c r="H438" s="2">
        <v>1</v>
      </c>
      <c r="I438" s="1">
        <v>8500</v>
      </c>
      <c r="J438" s="1">
        <v>8500</v>
      </c>
      <c r="K438" s="1">
        <v>6120</v>
      </c>
      <c r="L438" s="1">
        <v>2380</v>
      </c>
    </row>
    <row r="439" spans="1:12" x14ac:dyDescent="0.3">
      <c r="A439" t="s">
        <v>484</v>
      </c>
      <c r="B439" s="3">
        <v>46341</v>
      </c>
      <c r="C439" t="s">
        <v>573</v>
      </c>
      <c r="D439" t="s">
        <v>565</v>
      </c>
      <c r="E439" t="s">
        <v>568</v>
      </c>
      <c r="F439" t="s">
        <v>548</v>
      </c>
      <c r="G439" t="s">
        <v>549</v>
      </c>
      <c r="H439" s="2">
        <v>8</v>
      </c>
      <c r="I439" s="1">
        <v>40000</v>
      </c>
      <c r="J439" s="1">
        <v>320000</v>
      </c>
      <c r="K439" s="1">
        <v>249600</v>
      </c>
      <c r="L439" s="1">
        <v>70400</v>
      </c>
    </row>
    <row r="440" spans="1:12" x14ac:dyDescent="0.3">
      <c r="A440" t="s">
        <v>485</v>
      </c>
      <c r="B440" s="3">
        <v>46342</v>
      </c>
      <c r="C440" t="s">
        <v>587</v>
      </c>
      <c r="D440" t="s">
        <v>22</v>
      </c>
      <c r="E440" t="s">
        <v>54</v>
      </c>
      <c r="F440" t="s">
        <v>551</v>
      </c>
      <c r="G440" t="s">
        <v>580</v>
      </c>
      <c r="H440" s="2">
        <v>8</v>
      </c>
      <c r="I440" s="1">
        <v>1800</v>
      </c>
      <c r="J440" s="1">
        <v>14400</v>
      </c>
      <c r="K440" s="1">
        <v>8640</v>
      </c>
      <c r="L440" s="1">
        <v>5760</v>
      </c>
    </row>
    <row r="441" spans="1:12" x14ac:dyDescent="0.3">
      <c r="A441" t="s">
        <v>486</v>
      </c>
      <c r="B441" s="3">
        <v>46343</v>
      </c>
      <c r="C441" t="s">
        <v>43</v>
      </c>
      <c r="D441" t="s">
        <v>21</v>
      </c>
      <c r="E441" t="s">
        <v>559</v>
      </c>
      <c r="F441" t="s">
        <v>551</v>
      </c>
      <c r="G441" t="s">
        <v>579</v>
      </c>
      <c r="H441" s="2">
        <v>8</v>
      </c>
      <c r="I441" s="1">
        <v>700</v>
      </c>
      <c r="J441" s="1">
        <v>5600</v>
      </c>
      <c r="K441" s="1">
        <v>3360</v>
      </c>
      <c r="L441" s="1">
        <v>2240</v>
      </c>
    </row>
    <row r="442" spans="1:12" x14ac:dyDescent="0.3">
      <c r="A442" t="s">
        <v>487</v>
      </c>
      <c r="B442" s="3">
        <v>46343</v>
      </c>
      <c r="C442" t="s">
        <v>43</v>
      </c>
      <c r="D442" t="s">
        <v>565</v>
      </c>
      <c r="E442" t="s">
        <v>571</v>
      </c>
      <c r="F442" t="s">
        <v>560</v>
      </c>
      <c r="G442" t="s">
        <v>584</v>
      </c>
      <c r="H442" s="2">
        <v>5</v>
      </c>
      <c r="I442" s="1">
        <v>250</v>
      </c>
      <c r="J442" s="1">
        <v>1250</v>
      </c>
      <c r="K442" s="1">
        <v>687.5</v>
      </c>
      <c r="L442" s="1">
        <v>562.5</v>
      </c>
    </row>
    <row r="443" spans="1:12" x14ac:dyDescent="0.3">
      <c r="A443" t="s">
        <v>488</v>
      </c>
      <c r="B443" s="3">
        <v>46344</v>
      </c>
      <c r="C443" t="s">
        <v>43</v>
      </c>
      <c r="D443" t="s">
        <v>565</v>
      </c>
      <c r="E443" t="s">
        <v>568</v>
      </c>
      <c r="F443" t="s">
        <v>551</v>
      </c>
      <c r="G443" t="s">
        <v>552</v>
      </c>
      <c r="H443" s="2">
        <v>7</v>
      </c>
      <c r="I443" s="1">
        <v>2500</v>
      </c>
      <c r="J443" s="1">
        <v>17500</v>
      </c>
      <c r="K443" s="1">
        <v>10500</v>
      </c>
      <c r="L443" s="1">
        <v>7000</v>
      </c>
    </row>
    <row r="444" spans="1:12" x14ac:dyDescent="0.3">
      <c r="A444" t="s">
        <v>489</v>
      </c>
      <c r="B444" s="3">
        <v>46345</v>
      </c>
      <c r="C444" t="s">
        <v>547</v>
      </c>
      <c r="D444" t="s">
        <v>20</v>
      </c>
      <c r="E444" t="s">
        <v>550</v>
      </c>
      <c r="F444" t="s">
        <v>548</v>
      </c>
      <c r="G444" t="s">
        <v>578</v>
      </c>
      <c r="H444" s="2">
        <v>4</v>
      </c>
      <c r="I444" s="1">
        <v>12000</v>
      </c>
      <c r="J444" s="1">
        <v>48000</v>
      </c>
      <c r="K444" s="1">
        <v>37440</v>
      </c>
      <c r="L444" s="1">
        <v>10560</v>
      </c>
    </row>
    <row r="445" spans="1:12" x14ac:dyDescent="0.3">
      <c r="A445" t="s">
        <v>490</v>
      </c>
      <c r="B445" s="3">
        <v>46346</v>
      </c>
      <c r="C445" t="s">
        <v>555</v>
      </c>
      <c r="D445" t="s">
        <v>20</v>
      </c>
      <c r="E445" t="s">
        <v>53</v>
      </c>
      <c r="F445" t="s">
        <v>551</v>
      </c>
      <c r="G445" t="s">
        <v>580</v>
      </c>
      <c r="H445" s="2">
        <v>6</v>
      </c>
      <c r="I445" s="1">
        <v>1800</v>
      </c>
      <c r="J445" s="1">
        <v>10800</v>
      </c>
      <c r="K445" s="1">
        <v>6480</v>
      </c>
      <c r="L445" s="1">
        <v>4320</v>
      </c>
    </row>
    <row r="446" spans="1:12" x14ac:dyDescent="0.3">
      <c r="A446" t="s">
        <v>491</v>
      </c>
      <c r="B446" s="3">
        <v>46346</v>
      </c>
      <c r="C446" t="s">
        <v>547</v>
      </c>
      <c r="D446" t="s">
        <v>565</v>
      </c>
      <c r="E446" t="s">
        <v>582</v>
      </c>
      <c r="F446" t="s">
        <v>560</v>
      </c>
      <c r="G446" t="s">
        <v>584</v>
      </c>
      <c r="H446" s="2">
        <v>5</v>
      </c>
      <c r="I446" s="1">
        <v>250</v>
      </c>
      <c r="J446" s="1">
        <v>1250</v>
      </c>
      <c r="K446" s="1">
        <v>687.5</v>
      </c>
      <c r="L446" s="1">
        <v>562.5</v>
      </c>
    </row>
    <row r="447" spans="1:12" x14ac:dyDescent="0.3">
      <c r="A447" t="s">
        <v>492</v>
      </c>
      <c r="B447" s="3">
        <v>46347</v>
      </c>
      <c r="C447" t="s">
        <v>50</v>
      </c>
      <c r="D447" t="s">
        <v>22</v>
      </c>
      <c r="E447" t="s">
        <v>556</v>
      </c>
      <c r="F447" t="s">
        <v>548</v>
      </c>
      <c r="G447" t="s">
        <v>549</v>
      </c>
      <c r="H447" s="2">
        <v>5</v>
      </c>
      <c r="I447" s="1">
        <v>40000</v>
      </c>
      <c r="J447" s="1">
        <v>200000</v>
      </c>
      <c r="K447" s="1">
        <v>156000</v>
      </c>
      <c r="L447" s="1">
        <v>44000</v>
      </c>
    </row>
    <row r="448" spans="1:12" x14ac:dyDescent="0.3">
      <c r="A448" t="s">
        <v>493</v>
      </c>
      <c r="B448" s="3">
        <v>46348</v>
      </c>
      <c r="C448" t="s">
        <v>46</v>
      </c>
      <c r="D448" t="s">
        <v>22</v>
      </c>
      <c r="E448" t="s">
        <v>54</v>
      </c>
      <c r="F448" t="s">
        <v>560</v>
      </c>
      <c r="G448" t="s">
        <v>581</v>
      </c>
      <c r="H448" s="2">
        <v>1</v>
      </c>
      <c r="I448" s="1">
        <v>150</v>
      </c>
      <c r="J448" s="1">
        <v>150</v>
      </c>
      <c r="K448" s="1">
        <v>82.5</v>
      </c>
      <c r="L448" s="1">
        <v>67.5</v>
      </c>
    </row>
    <row r="449" spans="1:12" x14ac:dyDescent="0.3">
      <c r="A449" t="s">
        <v>494</v>
      </c>
      <c r="B449" s="3">
        <v>46349</v>
      </c>
      <c r="C449" t="s">
        <v>45</v>
      </c>
      <c r="D449" t="s">
        <v>20</v>
      </c>
      <c r="E449" t="s">
        <v>55</v>
      </c>
      <c r="F449" t="s">
        <v>548</v>
      </c>
      <c r="G449" t="s">
        <v>586</v>
      </c>
      <c r="H449" s="2">
        <v>6</v>
      </c>
      <c r="I449" s="1">
        <v>18000</v>
      </c>
      <c r="J449" s="1">
        <v>108000</v>
      </c>
      <c r="K449" s="1">
        <v>84240</v>
      </c>
      <c r="L449" s="1">
        <v>23760</v>
      </c>
    </row>
    <row r="450" spans="1:12" x14ac:dyDescent="0.3">
      <c r="A450" t="s">
        <v>495</v>
      </c>
      <c r="B450" s="3">
        <v>46349</v>
      </c>
      <c r="C450" t="s">
        <v>17</v>
      </c>
      <c r="D450" t="s">
        <v>20</v>
      </c>
      <c r="E450" t="s">
        <v>53</v>
      </c>
      <c r="F450" t="s">
        <v>551</v>
      </c>
      <c r="G450" t="s">
        <v>552</v>
      </c>
      <c r="H450" s="2">
        <v>1</v>
      </c>
      <c r="I450" s="1">
        <v>2500</v>
      </c>
      <c r="J450" s="1">
        <v>2500</v>
      </c>
      <c r="K450" s="1">
        <v>1500</v>
      </c>
      <c r="L450" s="1">
        <v>1000</v>
      </c>
    </row>
    <row r="451" spans="1:12" x14ac:dyDescent="0.3">
      <c r="A451" t="s">
        <v>496</v>
      </c>
      <c r="B451" s="3">
        <v>46350</v>
      </c>
      <c r="C451" t="s">
        <v>18</v>
      </c>
      <c r="D451" t="s">
        <v>565</v>
      </c>
      <c r="E451" t="s">
        <v>568</v>
      </c>
      <c r="F451" t="s">
        <v>553</v>
      </c>
      <c r="G451" t="s">
        <v>554</v>
      </c>
      <c r="H451" s="2">
        <v>3</v>
      </c>
      <c r="I451" s="1">
        <v>300</v>
      </c>
      <c r="J451" s="1">
        <v>900</v>
      </c>
      <c r="K451" s="1">
        <v>585</v>
      </c>
      <c r="L451" s="1">
        <v>315</v>
      </c>
    </row>
    <row r="452" spans="1:12" x14ac:dyDescent="0.3">
      <c r="A452" t="s">
        <v>497</v>
      </c>
      <c r="B452" s="3">
        <v>46351</v>
      </c>
      <c r="C452" t="s">
        <v>46</v>
      </c>
      <c r="D452" t="s">
        <v>565</v>
      </c>
      <c r="E452" t="s">
        <v>568</v>
      </c>
      <c r="F452" t="s">
        <v>548</v>
      </c>
      <c r="G452" t="s">
        <v>578</v>
      </c>
      <c r="H452" s="2">
        <v>3</v>
      </c>
      <c r="I452" s="1">
        <v>12000</v>
      </c>
      <c r="J452" s="1">
        <v>36000</v>
      </c>
      <c r="K452" s="1">
        <v>28080</v>
      </c>
      <c r="L452" s="1">
        <v>7920</v>
      </c>
    </row>
    <row r="453" spans="1:12" x14ac:dyDescent="0.3">
      <c r="A453" t="s">
        <v>498</v>
      </c>
      <c r="B453" s="3">
        <v>46351</v>
      </c>
      <c r="C453" t="s">
        <v>52</v>
      </c>
      <c r="D453" t="s">
        <v>21</v>
      </c>
      <c r="E453" t="s">
        <v>559</v>
      </c>
      <c r="F453" t="s">
        <v>560</v>
      </c>
      <c r="G453" t="s">
        <v>561</v>
      </c>
      <c r="H453" s="2">
        <v>5</v>
      </c>
      <c r="I453" s="1">
        <v>400</v>
      </c>
      <c r="J453" s="1">
        <v>2000</v>
      </c>
      <c r="K453" s="1">
        <v>1100</v>
      </c>
      <c r="L453" s="1">
        <v>900</v>
      </c>
    </row>
    <row r="454" spans="1:12" x14ac:dyDescent="0.3">
      <c r="A454" t="s">
        <v>499</v>
      </c>
      <c r="B454" s="3">
        <v>46352</v>
      </c>
      <c r="C454" t="s">
        <v>576</v>
      </c>
      <c r="D454" t="s">
        <v>565</v>
      </c>
      <c r="E454" t="s">
        <v>566</v>
      </c>
      <c r="F454" t="s">
        <v>27</v>
      </c>
      <c r="G454" t="s">
        <v>57</v>
      </c>
      <c r="H454" s="2">
        <v>1</v>
      </c>
      <c r="I454" s="1">
        <v>8500</v>
      </c>
      <c r="J454" s="1">
        <v>8500</v>
      </c>
      <c r="K454" s="1">
        <v>6120</v>
      </c>
      <c r="L454" s="1">
        <v>2380</v>
      </c>
    </row>
    <row r="455" spans="1:12" x14ac:dyDescent="0.3">
      <c r="A455" t="s">
        <v>500</v>
      </c>
      <c r="B455" s="3">
        <v>46353</v>
      </c>
      <c r="C455" t="s">
        <v>47</v>
      </c>
      <c r="D455" t="s">
        <v>22</v>
      </c>
      <c r="E455" t="s">
        <v>569</v>
      </c>
      <c r="F455" t="s">
        <v>560</v>
      </c>
      <c r="G455" t="s">
        <v>561</v>
      </c>
      <c r="H455" s="2">
        <v>3</v>
      </c>
      <c r="I455" s="1">
        <v>400</v>
      </c>
      <c r="J455" s="1">
        <v>1200</v>
      </c>
      <c r="K455" s="1">
        <v>660</v>
      </c>
      <c r="L455" s="1">
        <v>540</v>
      </c>
    </row>
    <row r="456" spans="1:12" x14ac:dyDescent="0.3">
      <c r="A456" t="s">
        <v>501</v>
      </c>
      <c r="B456" s="3">
        <v>46354</v>
      </c>
      <c r="C456" t="s">
        <v>45</v>
      </c>
      <c r="D456" t="s">
        <v>20</v>
      </c>
      <c r="E456" t="s">
        <v>53</v>
      </c>
      <c r="F456" t="s">
        <v>28</v>
      </c>
      <c r="G456" t="s">
        <v>58</v>
      </c>
      <c r="H456" s="2">
        <v>1</v>
      </c>
      <c r="I456" s="1">
        <v>900</v>
      </c>
      <c r="J456" s="1">
        <v>900</v>
      </c>
      <c r="K456" s="1">
        <v>738</v>
      </c>
      <c r="L456" s="1">
        <v>162</v>
      </c>
    </row>
    <row r="457" spans="1:12" x14ac:dyDescent="0.3">
      <c r="A457" t="s">
        <v>502</v>
      </c>
      <c r="B457" s="3">
        <v>46354</v>
      </c>
      <c r="C457" t="s">
        <v>49</v>
      </c>
      <c r="D457" t="s">
        <v>21</v>
      </c>
      <c r="E457" t="s">
        <v>559</v>
      </c>
      <c r="F457" t="s">
        <v>27</v>
      </c>
      <c r="G457" t="s">
        <v>57</v>
      </c>
      <c r="H457" s="2">
        <v>6</v>
      </c>
      <c r="I457" s="1">
        <v>8500</v>
      </c>
      <c r="J457" s="1">
        <v>51000</v>
      </c>
      <c r="K457" s="1">
        <v>36720</v>
      </c>
      <c r="L457" s="1">
        <v>14280</v>
      </c>
    </row>
    <row r="458" spans="1:12" x14ac:dyDescent="0.3">
      <c r="A458" t="s">
        <v>503</v>
      </c>
      <c r="B458" s="3">
        <v>46355</v>
      </c>
      <c r="C458" t="s">
        <v>564</v>
      </c>
      <c r="D458" t="s">
        <v>21</v>
      </c>
      <c r="E458" t="s">
        <v>562</v>
      </c>
      <c r="F458" t="s">
        <v>553</v>
      </c>
      <c r="G458" t="s">
        <v>557</v>
      </c>
      <c r="H458" s="2">
        <v>7</v>
      </c>
      <c r="I458" s="1">
        <v>600</v>
      </c>
      <c r="J458" s="1">
        <v>4200</v>
      </c>
      <c r="K458" s="1">
        <v>2730</v>
      </c>
      <c r="L458" s="1">
        <v>1470</v>
      </c>
    </row>
    <row r="459" spans="1:12" x14ac:dyDescent="0.3">
      <c r="A459" t="s">
        <v>504</v>
      </c>
      <c r="B459" s="3">
        <v>46356</v>
      </c>
      <c r="C459" t="s">
        <v>52</v>
      </c>
      <c r="D459" t="s">
        <v>22</v>
      </c>
      <c r="E459" t="s">
        <v>556</v>
      </c>
      <c r="F459" t="s">
        <v>28</v>
      </c>
      <c r="G459" t="s">
        <v>56</v>
      </c>
      <c r="H459" s="2">
        <v>1</v>
      </c>
      <c r="I459" s="1">
        <v>55000</v>
      </c>
      <c r="J459" s="1">
        <v>55000</v>
      </c>
      <c r="K459" s="1">
        <v>45100</v>
      </c>
      <c r="L459" s="1">
        <v>9900</v>
      </c>
    </row>
    <row r="460" spans="1:12" x14ac:dyDescent="0.3">
      <c r="A460" t="s">
        <v>505</v>
      </c>
      <c r="B460" s="3">
        <v>46357</v>
      </c>
      <c r="C460" t="s">
        <v>576</v>
      </c>
      <c r="D460" t="s">
        <v>20</v>
      </c>
      <c r="E460" t="s">
        <v>55</v>
      </c>
      <c r="F460" t="s">
        <v>27</v>
      </c>
      <c r="G460" t="s">
        <v>57</v>
      </c>
      <c r="H460" s="2">
        <v>7</v>
      </c>
      <c r="I460" s="1">
        <v>8500</v>
      </c>
      <c r="J460" s="1">
        <v>59500</v>
      </c>
      <c r="K460" s="1">
        <v>42840</v>
      </c>
      <c r="L460" s="1">
        <v>16660</v>
      </c>
    </row>
    <row r="461" spans="1:12" x14ac:dyDescent="0.3">
      <c r="A461" t="s">
        <v>506</v>
      </c>
      <c r="B461" s="3">
        <v>46357</v>
      </c>
      <c r="C461" t="s">
        <v>587</v>
      </c>
      <c r="D461" t="s">
        <v>22</v>
      </c>
      <c r="E461" t="s">
        <v>569</v>
      </c>
      <c r="F461" t="s">
        <v>560</v>
      </c>
      <c r="G461" t="s">
        <v>575</v>
      </c>
      <c r="H461" s="2">
        <v>5</v>
      </c>
      <c r="I461" s="1">
        <v>200</v>
      </c>
      <c r="J461" s="1">
        <v>1000</v>
      </c>
      <c r="K461" s="1">
        <v>550</v>
      </c>
      <c r="L461" s="1">
        <v>450</v>
      </c>
    </row>
    <row r="462" spans="1:12" x14ac:dyDescent="0.3">
      <c r="A462" t="s">
        <v>507</v>
      </c>
      <c r="B462" s="3">
        <v>46358</v>
      </c>
      <c r="C462" t="s">
        <v>51</v>
      </c>
      <c r="D462" t="s">
        <v>20</v>
      </c>
      <c r="E462" t="s">
        <v>550</v>
      </c>
      <c r="F462" t="s">
        <v>560</v>
      </c>
      <c r="G462" t="s">
        <v>561</v>
      </c>
      <c r="H462" s="2">
        <v>5</v>
      </c>
      <c r="I462" s="1">
        <v>400</v>
      </c>
      <c r="J462" s="1">
        <v>2000</v>
      </c>
      <c r="K462" s="1">
        <v>1100</v>
      </c>
      <c r="L462" s="1">
        <v>900</v>
      </c>
    </row>
    <row r="463" spans="1:12" x14ac:dyDescent="0.3">
      <c r="A463" t="s">
        <v>508</v>
      </c>
      <c r="B463" s="3">
        <v>46359</v>
      </c>
      <c r="C463" t="s">
        <v>49</v>
      </c>
      <c r="D463" t="s">
        <v>21</v>
      </c>
      <c r="E463" t="s">
        <v>24</v>
      </c>
      <c r="F463" t="s">
        <v>548</v>
      </c>
      <c r="G463" t="s">
        <v>578</v>
      </c>
      <c r="H463" s="2">
        <v>1</v>
      </c>
      <c r="I463" s="1">
        <v>12000</v>
      </c>
      <c r="J463" s="1">
        <v>12000</v>
      </c>
      <c r="K463" s="1">
        <v>9360</v>
      </c>
      <c r="L463" s="1">
        <v>2640</v>
      </c>
    </row>
    <row r="464" spans="1:12" x14ac:dyDescent="0.3">
      <c r="A464" t="s">
        <v>509</v>
      </c>
      <c r="B464" s="3">
        <v>46360</v>
      </c>
      <c r="C464" t="s">
        <v>52</v>
      </c>
      <c r="D464" t="s">
        <v>565</v>
      </c>
      <c r="E464" t="s">
        <v>568</v>
      </c>
      <c r="F464" t="s">
        <v>27</v>
      </c>
      <c r="G464" t="s">
        <v>59</v>
      </c>
      <c r="H464" s="2">
        <v>3</v>
      </c>
      <c r="I464" s="1">
        <v>6500</v>
      </c>
      <c r="J464" s="1">
        <v>19500</v>
      </c>
      <c r="K464" s="1">
        <v>14040</v>
      </c>
      <c r="L464" s="1">
        <v>5460</v>
      </c>
    </row>
    <row r="465" spans="1:12" x14ac:dyDescent="0.3">
      <c r="A465" t="s">
        <v>510</v>
      </c>
      <c r="B465" s="3">
        <v>46360</v>
      </c>
      <c r="C465" t="s">
        <v>50</v>
      </c>
      <c r="D465" t="s">
        <v>20</v>
      </c>
      <c r="E465" t="s">
        <v>55</v>
      </c>
      <c r="F465" t="s">
        <v>28</v>
      </c>
      <c r="G465" t="s">
        <v>58</v>
      </c>
      <c r="H465" s="2">
        <v>5</v>
      </c>
      <c r="I465" s="1">
        <v>900</v>
      </c>
      <c r="J465" s="1">
        <v>4500</v>
      </c>
      <c r="K465" s="1">
        <v>3690</v>
      </c>
      <c r="L465" s="1">
        <v>810</v>
      </c>
    </row>
    <row r="466" spans="1:12" x14ac:dyDescent="0.3">
      <c r="A466" t="s">
        <v>511</v>
      </c>
      <c r="B466" s="3">
        <v>46361</v>
      </c>
      <c r="C466" t="s">
        <v>51</v>
      </c>
      <c r="D466" t="s">
        <v>20</v>
      </c>
      <c r="E466" t="s">
        <v>53</v>
      </c>
      <c r="F466" t="s">
        <v>27</v>
      </c>
      <c r="G466" t="s">
        <v>57</v>
      </c>
      <c r="H466" s="2">
        <v>4</v>
      </c>
      <c r="I466" s="1">
        <v>8500</v>
      </c>
      <c r="J466" s="1">
        <v>34000</v>
      </c>
      <c r="K466" s="1">
        <v>24480</v>
      </c>
      <c r="L466" s="1">
        <v>9520</v>
      </c>
    </row>
    <row r="467" spans="1:12" x14ac:dyDescent="0.3">
      <c r="A467" t="s">
        <v>512</v>
      </c>
      <c r="B467" s="3">
        <v>46362</v>
      </c>
      <c r="C467" t="s">
        <v>576</v>
      </c>
      <c r="D467" t="s">
        <v>20</v>
      </c>
      <c r="E467" t="s">
        <v>23</v>
      </c>
      <c r="F467" t="s">
        <v>551</v>
      </c>
      <c r="G467" t="s">
        <v>580</v>
      </c>
      <c r="H467" s="2">
        <v>6</v>
      </c>
      <c r="I467" s="1">
        <v>1800</v>
      </c>
      <c r="J467" s="1">
        <v>10800</v>
      </c>
      <c r="K467" s="1">
        <v>6480</v>
      </c>
      <c r="L467" s="1">
        <v>4320</v>
      </c>
    </row>
    <row r="468" spans="1:12" x14ac:dyDescent="0.3">
      <c r="A468" t="s">
        <v>513</v>
      </c>
      <c r="B468" s="3">
        <v>46362</v>
      </c>
      <c r="C468" t="s">
        <v>555</v>
      </c>
      <c r="D468" t="s">
        <v>22</v>
      </c>
      <c r="E468" t="s">
        <v>569</v>
      </c>
      <c r="F468" t="s">
        <v>553</v>
      </c>
      <c r="G468" t="s">
        <v>554</v>
      </c>
      <c r="H468" s="2">
        <v>7</v>
      </c>
      <c r="I468" s="1">
        <v>300</v>
      </c>
      <c r="J468" s="1">
        <v>2100</v>
      </c>
      <c r="K468" s="1">
        <v>1365</v>
      </c>
      <c r="L468" s="1">
        <v>735</v>
      </c>
    </row>
    <row r="469" spans="1:12" x14ac:dyDescent="0.3">
      <c r="A469" t="s">
        <v>514</v>
      </c>
      <c r="B469" s="3">
        <v>46363</v>
      </c>
      <c r="C469" t="s">
        <v>18</v>
      </c>
      <c r="D469" t="s">
        <v>20</v>
      </c>
      <c r="E469" t="s">
        <v>55</v>
      </c>
      <c r="F469" t="s">
        <v>553</v>
      </c>
      <c r="G469" t="s">
        <v>577</v>
      </c>
      <c r="H469" s="2">
        <v>2</v>
      </c>
      <c r="I469" s="1">
        <v>250</v>
      </c>
      <c r="J469" s="1">
        <v>500</v>
      </c>
      <c r="K469" s="1">
        <v>325</v>
      </c>
      <c r="L469" s="1">
        <v>175</v>
      </c>
    </row>
    <row r="470" spans="1:12" x14ac:dyDescent="0.3">
      <c r="A470" t="s">
        <v>515</v>
      </c>
      <c r="B470" s="3">
        <v>46364</v>
      </c>
      <c r="C470" t="s">
        <v>587</v>
      </c>
      <c r="D470" t="s">
        <v>20</v>
      </c>
      <c r="E470" t="s">
        <v>55</v>
      </c>
      <c r="F470" t="s">
        <v>28</v>
      </c>
      <c r="G470" t="s">
        <v>32</v>
      </c>
      <c r="H470" s="2">
        <v>7</v>
      </c>
      <c r="I470" s="1">
        <v>1800</v>
      </c>
      <c r="J470" s="1">
        <v>12600</v>
      </c>
      <c r="K470" s="1">
        <v>10332</v>
      </c>
      <c r="L470" s="1">
        <v>2268</v>
      </c>
    </row>
    <row r="471" spans="1:12" x14ac:dyDescent="0.3">
      <c r="A471" t="s">
        <v>516</v>
      </c>
      <c r="B471" s="3">
        <v>46365</v>
      </c>
      <c r="C471" t="s">
        <v>564</v>
      </c>
      <c r="D471" t="s">
        <v>21</v>
      </c>
      <c r="E471" t="s">
        <v>25</v>
      </c>
      <c r="F471" t="s">
        <v>553</v>
      </c>
      <c r="G471" t="s">
        <v>577</v>
      </c>
      <c r="H471" s="2">
        <v>3</v>
      </c>
      <c r="I471" s="1">
        <v>250</v>
      </c>
      <c r="J471" s="1">
        <v>750</v>
      </c>
      <c r="K471" s="1">
        <v>487.5</v>
      </c>
      <c r="L471" s="1">
        <v>262.5</v>
      </c>
    </row>
    <row r="472" spans="1:12" x14ac:dyDescent="0.3">
      <c r="A472" t="s">
        <v>517</v>
      </c>
      <c r="B472" s="3">
        <v>46365</v>
      </c>
      <c r="C472" t="s">
        <v>576</v>
      </c>
      <c r="D472" t="s">
        <v>21</v>
      </c>
      <c r="E472" t="s">
        <v>25</v>
      </c>
      <c r="F472" t="s">
        <v>560</v>
      </c>
      <c r="G472" t="s">
        <v>581</v>
      </c>
      <c r="H472" s="2">
        <v>2</v>
      </c>
      <c r="I472" s="1">
        <v>150</v>
      </c>
      <c r="J472" s="1">
        <v>300</v>
      </c>
      <c r="K472" s="1">
        <v>165</v>
      </c>
      <c r="L472" s="1">
        <v>135</v>
      </c>
    </row>
    <row r="473" spans="1:12" x14ac:dyDescent="0.3">
      <c r="A473" t="s">
        <v>518</v>
      </c>
      <c r="B473" s="3">
        <v>46366</v>
      </c>
      <c r="C473" t="s">
        <v>52</v>
      </c>
      <c r="D473" t="s">
        <v>22</v>
      </c>
      <c r="E473" t="s">
        <v>26</v>
      </c>
      <c r="F473" t="s">
        <v>551</v>
      </c>
      <c r="G473" t="s">
        <v>579</v>
      </c>
      <c r="H473" s="2">
        <v>3</v>
      </c>
      <c r="I473" s="1">
        <v>700</v>
      </c>
      <c r="J473" s="1">
        <v>2100</v>
      </c>
      <c r="K473" s="1">
        <v>1260</v>
      </c>
      <c r="L473" s="1">
        <v>840</v>
      </c>
    </row>
    <row r="474" spans="1:12" x14ac:dyDescent="0.3">
      <c r="A474" t="s">
        <v>519</v>
      </c>
      <c r="B474" s="3">
        <v>46367</v>
      </c>
      <c r="C474" t="s">
        <v>587</v>
      </c>
      <c r="D474" t="s">
        <v>21</v>
      </c>
      <c r="E474" t="s">
        <v>24</v>
      </c>
      <c r="F474" t="s">
        <v>553</v>
      </c>
      <c r="G474" t="s">
        <v>554</v>
      </c>
      <c r="H474" s="2">
        <v>5</v>
      </c>
      <c r="I474" s="1">
        <v>300</v>
      </c>
      <c r="J474" s="1">
        <v>1500</v>
      </c>
      <c r="K474" s="1">
        <v>975</v>
      </c>
      <c r="L474" s="1">
        <v>525</v>
      </c>
    </row>
    <row r="475" spans="1:12" x14ac:dyDescent="0.3">
      <c r="A475" t="s">
        <v>520</v>
      </c>
      <c r="B475" s="3">
        <v>46368</v>
      </c>
      <c r="C475" t="s">
        <v>564</v>
      </c>
      <c r="D475" t="s">
        <v>565</v>
      </c>
      <c r="E475" t="s">
        <v>568</v>
      </c>
      <c r="F475" t="s">
        <v>560</v>
      </c>
      <c r="G475" t="s">
        <v>575</v>
      </c>
      <c r="H475" s="2">
        <v>5</v>
      </c>
      <c r="I475" s="1">
        <v>200</v>
      </c>
      <c r="J475" s="1">
        <v>1000</v>
      </c>
      <c r="K475" s="1">
        <v>550</v>
      </c>
      <c r="L475" s="1">
        <v>450</v>
      </c>
    </row>
    <row r="476" spans="1:12" x14ac:dyDescent="0.3">
      <c r="A476" t="s">
        <v>521</v>
      </c>
      <c r="B476" s="3">
        <v>46368</v>
      </c>
      <c r="C476" t="s">
        <v>573</v>
      </c>
      <c r="D476" t="s">
        <v>20</v>
      </c>
      <c r="E476" t="s">
        <v>550</v>
      </c>
      <c r="F476" t="s">
        <v>551</v>
      </c>
      <c r="G476" t="s">
        <v>552</v>
      </c>
      <c r="H476" s="2">
        <v>1</v>
      </c>
      <c r="I476" s="1">
        <v>2500</v>
      </c>
      <c r="J476" s="1">
        <v>2500</v>
      </c>
      <c r="K476" s="1">
        <v>1500</v>
      </c>
      <c r="L476" s="1">
        <v>1000</v>
      </c>
    </row>
    <row r="477" spans="1:12" x14ac:dyDescent="0.3">
      <c r="A477" t="s">
        <v>522</v>
      </c>
      <c r="B477" s="3">
        <v>46369</v>
      </c>
      <c r="C477" t="s">
        <v>51</v>
      </c>
      <c r="D477" t="s">
        <v>20</v>
      </c>
      <c r="E477" t="s">
        <v>55</v>
      </c>
      <c r="F477" t="s">
        <v>27</v>
      </c>
      <c r="G477" t="s">
        <v>61</v>
      </c>
      <c r="H477" s="2">
        <v>3</v>
      </c>
      <c r="I477" s="1">
        <v>28000</v>
      </c>
      <c r="J477" s="1">
        <v>84000</v>
      </c>
      <c r="K477" s="1">
        <v>60480</v>
      </c>
      <c r="L477" s="1">
        <v>23520</v>
      </c>
    </row>
    <row r="478" spans="1:12" x14ac:dyDescent="0.3">
      <c r="A478" t="s">
        <v>523</v>
      </c>
      <c r="B478" s="3">
        <v>46370</v>
      </c>
      <c r="C478" t="s">
        <v>576</v>
      </c>
      <c r="D478" t="s">
        <v>565</v>
      </c>
      <c r="E478" t="s">
        <v>566</v>
      </c>
      <c r="F478" t="s">
        <v>28</v>
      </c>
      <c r="G478" t="s">
        <v>60</v>
      </c>
      <c r="H478" s="2">
        <v>3</v>
      </c>
      <c r="I478" s="1">
        <v>2500</v>
      </c>
      <c r="J478" s="1">
        <v>7500</v>
      </c>
      <c r="K478" s="1">
        <v>6150</v>
      </c>
      <c r="L478" s="1">
        <v>1350</v>
      </c>
    </row>
    <row r="479" spans="1:12" x14ac:dyDescent="0.3">
      <c r="A479" t="s">
        <v>524</v>
      </c>
      <c r="B479" s="3">
        <v>46370</v>
      </c>
      <c r="C479" t="s">
        <v>583</v>
      </c>
      <c r="D479" t="s">
        <v>565</v>
      </c>
      <c r="E479" t="s">
        <v>582</v>
      </c>
      <c r="F479" t="s">
        <v>28</v>
      </c>
      <c r="G479" t="s">
        <v>60</v>
      </c>
      <c r="H479" s="2">
        <v>1</v>
      </c>
      <c r="I479" s="1">
        <v>2500</v>
      </c>
      <c r="J479" s="1">
        <v>2500</v>
      </c>
      <c r="K479" s="1">
        <v>2050</v>
      </c>
      <c r="L479" s="1">
        <v>450</v>
      </c>
    </row>
    <row r="480" spans="1:12" x14ac:dyDescent="0.3">
      <c r="A480" t="s">
        <v>525</v>
      </c>
      <c r="B480" s="3">
        <v>46371</v>
      </c>
      <c r="C480" t="s">
        <v>583</v>
      </c>
      <c r="D480" t="s">
        <v>20</v>
      </c>
      <c r="E480" t="s">
        <v>53</v>
      </c>
      <c r="F480" t="s">
        <v>553</v>
      </c>
      <c r="G480" t="s">
        <v>570</v>
      </c>
      <c r="H480" s="2">
        <v>7</v>
      </c>
      <c r="I480" s="1">
        <v>15000</v>
      </c>
      <c r="J480" s="1">
        <v>105000</v>
      </c>
      <c r="K480" s="1">
        <v>68250</v>
      </c>
      <c r="L480" s="1">
        <v>36750</v>
      </c>
    </row>
    <row r="481" spans="1:12" x14ac:dyDescent="0.3">
      <c r="A481" t="s">
        <v>526</v>
      </c>
      <c r="B481" s="3">
        <v>46372</v>
      </c>
      <c r="C481" t="s">
        <v>573</v>
      </c>
      <c r="D481" t="s">
        <v>22</v>
      </c>
      <c r="E481" t="s">
        <v>569</v>
      </c>
      <c r="F481" t="s">
        <v>560</v>
      </c>
      <c r="G481" t="s">
        <v>561</v>
      </c>
      <c r="H481" s="2">
        <v>5</v>
      </c>
      <c r="I481" s="1">
        <v>400</v>
      </c>
      <c r="J481" s="1">
        <v>2000</v>
      </c>
      <c r="K481" s="1">
        <v>1100</v>
      </c>
      <c r="L481" s="1">
        <v>900</v>
      </c>
    </row>
    <row r="482" spans="1:12" x14ac:dyDescent="0.3">
      <c r="A482" t="s">
        <v>527</v>
      </c>
      <c r="B482" s="3">
        <v>46373</v>
      </c>
      <c r="C482" t="s">
        <v>49</v>
      </c>
      <c r="D482" t="s">
        <v>565</v>
      </c>
      <c r="E482" t="s">
        <v>582</v>
      </c>
      <c r="F482" t="s">
        <v>551</v>
      </c>
      <c r="G482" t="s">
        <v>585</v>
      </c>
      <c r="H482" s="2">
        <v>1</v>
      </c>
      <c r="I482" s="1">
        <v>500</v>
      </c>
      <c r="J482" s="1">
        <v>500</v>
      </c>
      <c r="K482" s="1">
        <v>300</v>
      </c>
      <c r="L482" s="1">
        <v>200</v>
      </c>
    </row>
    <row r="483" spans="1:12" x14ac:dyDescent="0.3">
      <c r="A483" t="s">
        <v>528</v>
      </c>
      <c r="B483" s="3">
        <v>46373</v>
      </c>
      <c r="C483" t="s">
        <v>555</v>
      </c>
      <c r="D483" t="s">
        <v>21</v>
      </c>
      <c r="E483" t="s">
        <v>24</v>
      </c>
      <c r="F483" t="s">
        <v>548</v>
      </c>
      <c r="G483" t="s">
        <v>549</v>
      </c>
      <c r="H483" s="2">
        <v>8</v>
      </c>
      <c r="I483" s="1">
        <v>40000</v>
      </c>
      <c r="J483" s="1">
        <v>320000</v>
      </c>
      <c r="K483" s="1">
        <v>249600</v>
      </c>
      <c r="L483" s="1">
        <v>70400</v>
      </c>
    </row>
    <row r="484" spans="1:12" x14ac:dyDescent="0.3">
      <c r="A484" t="s">
        <v>529</v>
      </c>
      <c r="B484" s="3">
        <v>46374</v>
      </c>
      <c r="C484" t="s">
        <v>576</v>
      </c>
      <c r="D484" t="s">
        <v>20</v>
      </c>
      <c r="E484" t="s">
        <v>550</v>
      </c>
      <c r="F484" t="s">
        <v>551</v>
      </c>
      <c r="G484" t="s">
        <v>579</v>
      </c>
      <c r="H484" s="2">
        <v>7</v>
      </c>
      <c r="I484" s="1">
        <v>700</v>
      </c>
      <c r="J484" s="1">
        <v>4900</v>
      </c>
      <c r="K484" s="1">
        <v>2940</v>
      </c>
      <c r="L484" s="1">
        <v>1960</v>
      </c>
    </row>
    <row r="485" spans="1:12" x14ac:dyDescent="0.3">
      <c r="A485" t="s">
        <v>530</v>
      </c>
      <c r="B485" s="3">
        <v>46375</v>
      </c>
      <c r="C485" t="s">
        <v>564</v>
      </c>
      <c r="D485" t="s">
        <v>565</v>
      </c>
      <c r="E485" t="s">
        <v>582</v>
      </c>
      <c r="F485" t="s">
        <v>548</v>
      </c>
      <c r="G485" t="s">
        <v>549</v>
      </c>
      <c r="H485" s="2">
        <v>2</v>
      </c>
      <c r="I485" s="1">
        <v>40000</v>
      </c>
      <c r="J485" s="1">
        <v>80000</v>
      </c>
      <c r="K485" s="1">
        <v>62400</v>
      </c>
      <c r="L485" s="1">
        <v>17600</v>
      </c>
    </row>
    <row r="486" spans="1:12" x14ac:dyDescent="0.3">
      <c r="A486" t="s">
        <v>531</v>
      </c>
      <c r="B486" s="3">
        <v>46376</v>
      </c>
      <c r="C486" t="s">
        <v>46</v>
      </c>
      <c r="D486" t="s">
        <v>565</v>
      </c>
      <c r="E486" t="s">
        <v>566</v>
      </c>
      <c r="F486" t="s">
        <v>553</v>
      </c>
      <c r="G486" t="s">
        <v>563</v>
      </c>
      <c r="H486" s="2">
        <v>6</v>
      </c>
      <c r="I486" s="1">
        <v>500</v>
      </c>
      <c r="J486" s="1">
        <v>3000</v>
      </c>
      <c r="K486" s="1">
        <v>1950</v>
      </c>
      <c r="L486" s="1">
        <v>1050</v>
      </c>
    </row>
    <row r="487" spans="1:12" x14ac:dyDescent="0.3">
      <c r="A487" t="s">
        <v>532</v>
      </c>
      <c r="B487" s="3">
        <v>46376</v>
      </c>
      <c r="C487" t="s">
        <v>576</v>
      </c>
      <c r="D487" t="s">
        <v>20</v>
      </c>
      <c r="E487" t="s">
        <v>550</v>
      </c>
      <c r="F487" t="s">
        <v>553</v>
      </c>
      <c r="G487" t="s">
        <v>563</v>
      </c>
      <c r="H487" s="2">
        <v>7</v>
      </c>
      <c r="I487" s="1">
        <v>500</v>
      </c>
      <c r="J487" s="1">
        <v>3500</v>
      </c>
      <c r="K487" s="1">
        <v>2275</v>
      </c>
      <c r="L487" s="1">
        <v>1225</v>
      </c>
    </row>
    <row r="488" spans="1:12" x14ac:dyDescent="0.3">
      <c r="A488" t="s">
        <v>533</v>
      </c>
      <c r="B488" s="3">
        <v>46377</v>
      </c>
      <c r="C488" t="s">
        <v>51</v>
      </c>
      <c r="D488" t="s">
        <v>21</v>
      </c>
      <c r="E488" t="s">
        <v>24</v>
      </c>
      <c r="F488" t="s">
        <v>553</v>
      </c>
      <c r="G488" t="s">
        <v>554</v>
      </c>
      <c r="H488" s="2">
        <v>4</v>
      </c>
      <c r="I488" s="1">
        <v>300</v>
      </c>
      <c r="J488" s="1">
        <v>1200</v>
      </c>
      <c r="K488" s="1">
        <v>780</v>
      </c>
      <c r="L488" s="1">
        <v>420</v>
      </c>
    </row>
    <row r="489" spans="1:12" x14ac:dyDescent="0.3">
      <c r="A489" t="s">
        <v>534</v>
      </c>
      <c r="B489" s="3">
        <v>46378</v>
      </c>
      <c r="C489" t="s">
        <v>51</v>
      </c>
      <c r="D489" t="s">
        <v>21</v>
      </c>
      <c r="E489" t="s">
        <v>25</v>
      </c>
      <c r="F489" t="s">
        <v>28</v>
      </c>
      <c r="G489" t="s">
        <v>58</v>
      </c>
      <c r="H489" s="2">
        <v>1</v>
      </c>
      <c r="I489" s="1">
        <v>900</v>
      </c>
      <c r="J489" s="1">
        <v>900</v>
      </c>
      <c r="K489" s="1">
        <v>738</v>
      </c>
      <c r="L489" s="1">
        <v>162</v>
      </c>
    </row>
    <row r="490" spans="1:12" x14ac:dyDescent="0.3">
      <c r="A490" t="s">
        <v>535</v>
      </c>
      <c r="B490" s="3">
        <v>46378</v>
      </c>
      <c r="C490" t="s">
        <v>49</v>
      </c>
      <c r="D490" t="s">
        <v>22</v>
      </c>
      <c r="E490" t="s">
        <v>569</v>
      </c>
      <c r="F490" t="s">
        <v>560</v>
      </c>
      <c r="G490" t="s">
        <v>575</v>
      </c>
      <c r="H490" s="2">
        <v>4</v>
      </c>
      <c r="I490" s="1">
        <v>200</v>
      </c>
      <c r="J490" s="1">
        <v>800</v>
      </c>
      <c r="K490" s="1">
        <v>440.00000000000006</v>
      </c>
      <c r="L490" s="1">
        <v>359.99999999999994</v>
      </c>
    </row>
    <row r="491" spans="1:12" x14ac:dyDescent="0.3">
      <c r="A491" t="s">
        <v>536</v>
      </c>
      <c r="B491" s="3">
        <v>46379</v>
      </c>
      <c r="C491" t="s">
        <v>587</v>
      </c>
      <c r="D491" t="s">
        <v>22</v>
      </c>
      <c r="E491" t="s">
        <v>26</v>
      </c>
      <c r="F491" t="s">
        <v>551</v>
      </c>
      <c r="G491" t="s">
        <v>580</v>
      </c>
      <c r="H491" s="2">
        <v>6</v>
      </c>
      <c r="I491" s="1">
        <v>1800</v>
      </c>
      <c r="J491" s="1">
        <v>10800</v>
      </c>
      <c r="K491" s="1">
        <v>6480</v>
      </c>
      <c r="L491" s="1">
        <v>4320</v>
      </c>
    </row>
    <row r="492" spans="1:12" x14ac:dyDescent="0.3">
      <c r="A492" t="s">
        <v>537</v>
      </c>
      <c r="B492" s="3">
        <v>46380</v>
      </c>
      <c r="C492" t="s">
        <v>17</v>
      </c>
      <c r="D492" t="s">
        <v>565</v>
      </c>
      <c r="E492" t="s">
        <v>582</v>
      </c>
      <c r="F492" t="s">
        <v>553</v>
      </c>
      <c r="G492" t="s">
        <v>577</v>
      </c>
      <c r="H492" s="2">
        <v>5</v>
      </c>
      <c r="I492" s="1">
        <v>250</v>
      </c>
      <c r="J492" s="1">
        <v>1250</v>
      </c>
      <c r="K492" s="1">
        <v>812.5</v>
      </c>
      <c r="L492" s="1">
        <v>437.5</v>
      </c>
    </row>
    <row r="493" spans="1:12" x14ac:dyDescent="0.3">
      <c r="A493" t="s">
        <v>538</v>
      </c>
      <c r="B493" s="3">
        <v>46381</v>
      </c>
      <c r="C493" t="s">
        <v>573</v>
      </c>
      <c r="D493" t="s">
        <v>22</v>
      </c>
      <c r="E493" t="s">
        <v>54</v>
      </c>
      <c r="F493" t="s">
        <v>553</v>
      </c>
      <c r="G493" t="s">
        <v>563</v>
      </c>
      <c r="H493" s="2">
        <v>2</v>
      </c>
      <c r="I493" s="1">
        <v>500</v>
      </c>
      <c r="J493" s="1">
        <v>1000</v>
      </c>
      <c r="K493" s="1">
        <v>650</v>
      </c>
      <c r="L493" s="1">
        <v>350</v>
      </c>
    </row>
    <row r="494" spans="1:12" x14ac:dyDescent="0.3">
      <c r="A494" t="s">
        <v>539</v>
      </c>
      <c r="B494" s="3">
        <v>46381</v>
      </c>
      <c r="C494" t="s">
        <v>17</v>
      </c>
      <c r="D494" t="s">
        <v>21</v>
      </c>
      <c r="E494" t="s">
        <v>559</v>
      </c>
      <c r="F494" t="s">
        <v>553</v>
      </c>
      <c r="G494" t="s">
        <v>554</v>
      </c>
      <c r="H494" s="2">
        <v>7</v>
      </c>
      <c r="I494" s="1">
        <v>300</v>
      </c>
      <c r="J494" s="1">
        <v>2100</v>
      </c>
      <c r="K494" s="1">
        <v>1365</v>
      </c>
      <c r="L494" s="1">
        <v>735</v>
      </c>
    </row>
    <row r="495" spans="1:12" x14ac:dyDescent="0.3">
      <c r="A495" t="s">
        <v>540</v>
      </c>
      <c r="B495" s="3">
        <v>46382</v>
      </c>
      <c r="C495" t="s">
        <v>18</v>
      </c>
      <c r="D495" t="s">
        <v>20</v>
      </c>
      <c r="E495" t="s">
        <v>53</v>
      </c>
      <c r="F495" t="s">
        <v>28</v>
      </c>
      <c r="G495" t="s">
        <v>60</v>
      </c>
      <c r="H495" s="2">
        <v>7</v>
      </c>
      <c r="I495" s="1">
        <v>2500</v>
      </c>
      <c r="J495" s="1">
        <v>17500</v>
      </c>
      <c r="K495" s="1">
        <v>14350</v>
      </c>
      <c r="L495" s="1">
        <v>3150</v>
      </c>
    </row>
    <row r="496" spans="1:12" x14ac:dyDescent="0.3">
      <c r="A496" t="s">
        <v>541</v>
      </c>
      <c r="B496" s="3">
        <v>46383</v>
      </c>
      <c r="C496" t="s">
        <v>48</v>
      </c>
      <c r="D496" t="s">
        <v>21</v>
      </c>
      <c r="E496" t="s">
        <v>24</v>
      </c>
      <c r="F496" t="s">
        <v>548</v>
      </c>
      <c r="G496" t="s">
        <v>578</v>
      </c>
      <c r="H496" s="2">
        <v>1</v>
      </c>
      <c r="I496" s="1">
        <v>12000</v>
      </c>
      <c r="J496" s="1">
        <v>12000</v>
      </c>
      <c r="K496" s="1">
        <v>9360</v>
      </c>
      <c r="L496" s="1">
        <v>2640</v>
      </c>
    </row>
    <row r="497" spans="1:12" x14ac:dyDescent="0.3">
      <c r="A497" t="s">
        <v>542</v>
      </c>
      <c r="B497" s="3">
        <v>46384</v>
      </c>
      <c r="C497" t="s">
        <v>44</v>
      </c>
      <c r="D497" t="s">
        <v>21</v>
      </c>
      <c r="E497" t="s">
        <v>25</v>
      </c>
      <c r="F497" t="s">
        <v>551</v>
      </c>
      <c r="G497" t="s">
        <v>580</v>
      </c>
      <c r="H497" s="2">
        <v>7</v>
      </c>
      <c r="I497" s="1">
        <v>1800</v>
      </c>
      <c r="J497" s="1">
        <v>12600</v>
      </c>
      <c r="K497" s="1">
        <v>7560</v>
      </c>
      <c r="L497" s="1">
        <v>5040</v>
      </c>
    </row>
    <row r="498" spans="1:12" x14ac:dyDescent="0.3">
      <c r="A498" t="s">
        <v>543</v>
      </c>
      <c r="B498" s="3">
        <v>46384</v>
      </c>
      <c r="C498" t="s">
        <v>18</v>
      </c>
      <c r="D498" t="s">
        <v>565</v>
      </c>
      <c r="E498" t="s">
        <v>582</v>
      </c>
      <c r="F498" t="s">
        <v>27</v>
      </c>
      <c r="G498" t="s">
        <v>59</v>
      </c>
      <c r="H498" s="2">
        <v>4</v>
      </c>
      <c r="I498" s="1">
        <v>6500</v>
      </c>
      <c r="J498" s="1">
        <v>26000</v>
      </c>
      <c r="K498" s="1">
        <v>18720</v>
      </c>
      <c r="L498" s="1">
        <v>7280</v>
      </c>
    </row>
    <row r="499" spans="1:12" x14ac:dyDescent="0.3">
      <c r="A499" t="s">
        <v>544</v>
      </c>
      <c r="B499" s="3">
        <v>46385</v>
      </c>
      <c r="C499" t="s">
        <v>19</v>
      </c>
      <c r="D499" t="s">
        <v>21</v>
      </c>
      <c r="E499" t="s">
        <v>25</v>
      </c>
      <c r="F499" t="s">
        <v>553</v>
      </c>
      <c r="G499" t="s">
        <v>563</v>
      </c>
      <c r="H499" s="2">
        <v>1</v>
      </c>
      <c r="I499" s="1">
        <v>500</v>
      </c>
      <c r="J499" s="1">
        <v>500</v>
      </c>
      <c r="K499" s="1">
        <v>325</v>
      </c>
      <c r="L499" s="1">
        <v>175</v>
      </c>
    </row>
    <row r="500" spans="1:12" x14ac:dyDescent="0.3">
      <c r="A500" t="s">
        <v>545</v>
      </c>
      <c r="B500" s="3">
        <v>46386</v>
      </c>
      <c r="C500" t="s">
        <v>564</v>
      </c>
      <c r="D500" t="s">
        <v>20</v>
      </c>
      <c r="E500" t="s">
        <v>55</v>
      </c>
      <c r="F500" t="s">
        <v>548</v>
      </c>
      <c r="G500" t="s">
        <v>586</v>
      </c>
      <c r="H500" s="2">
        <v>6</v>
      </c>
      <c r="I500" s="1">
        <v>18000</v>
      </c>
      <c r="J500" s="1">
        <v>108000</v>
      </c>
      <c r="K500" s="1">
        <v>84240</v>
      </c>
      <c r="L500" s="1">
        <v>23760</v>
      </c>
    </row>
    <row r="501" spans="1:12" x14ac:dyDescent="0.3">
      <c r="A501" t="s">
        <v>546</v>
      </c>
      <c r="B501" s="3">
        <v>46387</v>
      </c>
      <c r="C501" t="s">
        <v>50</v>
      </c>
      <c r="D501" t="s">
        <v>22</v>
      </c>
      <c r="E501" t="s">
        <v>54</v>
      </c>
      <c r="F501" t="s">
        <v>551</v>
      </c>
      <c r="G501" t="s">
        <v>585</v>
      </c>
      <c r="H501" s="2">
        <v>3</v>
      </c>
      <c r="I501" s="1">
        <v>500</v>
      </c>
      <c r="J501" s="1">
        <v>1500</v>
      </c>
      <c r="K501" s="1">
        <v>900</v>
      </c>
      <c r="L501" s="1">
        <v>600</v>
      </c>
    </row>
    <row r="502" spans="1:12" x14ac:dyDescent="0.3">
      <c r="H502" s="2"/>
      <c r="I502" s="1"/>
      <c r="J502" s="1"/>
      <c r="K502" s="1"/>
      <c r="L502" s="1"/>
    </row>
    <row r="503" spans="1:12" x14ac:dyDescent="0.3">
      <c r="H503" s="2"/>
      <c r="I503" s="1"/>
      <c r="J503" s="1"/>
      <c r="K503" s="1"/>
      <c r="L503" s="1"/>
    </row>
    <row r="504" spans="1:12" x14ac:dyDescent="0.3">
      <c r="H504" s="2"/>
      <c r="I504" s="1"/>
      <c r="J504" s="1"/>
      <c r="K504" s="1"/>
      <c r="L504" s="1"/>
    </row>
    <row r="505" spans="1:12" x14ac:dyDescent="0.3">
      <c r="H505" s="2"/>
      <c r="I505" s="1"/>
      <c r="J505" s="1"/>
      <c r="K505" s="1"/>
      <c r="L505" s="1"/>
    </row>
    <row r="506" spans="1:12" x14ac:dyDescent="0.3">
      <c r="H506" s="2"/>
      <c r="I506" s="1"/>
      <c r="J506" s="1"/>
      <c r="K506" s="1"/>
      <c r="L506" s="1"/>
    </row>
    <row r="507" spans="1:12" x14ac:dyDescent="0.3">
      <c r="H507" s="2"/>
      <c r="I507" s="1"/>
      <c r="J507" s="1"/>
      <c r="K507" s="1"/>
      <c r="L507" s="1"/>
    </row>
    <row r="508" spans="1:12" x14ac:dyDescent="0.3">
      <c r="H508" s="2"/>
      <c r="I508" s="1"/>
      <c r="J508" s="1"/>
      <c r="K508" s="1"/>
      <c r="L508" s="1"/>
    </row>
    <row r="509" spans="1:12" x14ac:dyDescent="0.3">
      <c r="H509" s="2"/>
      <c r="I509" s="1"/>
      <c r="J509" s="1"/>
      <c r="K509" s="1"/>
      <c r="L509" s="1"/>
    </row>
    <row r="510" spans="1:12" x14ac:dyDescent="0.3">
      <c r="H510" s="2"/>
      <c r="I510" s="1"/>
      <c r="J510" s="1"/>
      <c r="K510" s="1"/>
      <c r="L510" s="1"/>
    </row>
    <row r="511" spans="1:12" x14ac:dyDescent="0.3">
      <c r="H511" s="2"/>
      <c r="I511" s="1"/>
      <c r="J511" s="1"/>
      <c r="K511" s="1"/>
      <c r="L511" s="1"/>
    </row>
    <row r="512" spans="1:12" x14ac:dyDescent="0.3">
      <c r="H512" s="2"/>
      <c r="I512" s="1"/>
      <c r="J512" s="1"/>
      <c r="K512" s="1"/>
      <c r="L512" s="1"/>
    </row>
    <row r="513" spans="8:12" x14ac:dyDescent="0.3">
      <c r="H513" s="2"/>
      <c r="I513" s="1"/>
      <c r="J513" s="1"/>
      <c r="K513" s="1"/>
      <c r="L513" s="1"/>
    </row>
    <row r="514" spans="8:12" x14ac:dyDescent="0.3">
      <c r="H514" s="2"/>
      <c r="I514" s="1"/>
      <c r="J514" s="1"/>
      <c r="K514" s="1"/>
      <c r="L514" s="1"/>
    </row>
    <row r="515" spans="8:12" x14ac:dyDescent="0.3">
      <c r="H515" s="2"/>
      <c r="I515" s="1"/>
      <c r="J515" s="1"/>
      <c r="K515" s="1"/>
      <c r="L515" s="1"/>
    </row>
    <row r="516" spans="8:12" x14ac:dyDescent="0.3">
      <c r="H516" s="2"/>
      <c r="I516" s="1"/>
      <c r="J516" s="1"/>
      <c r="K516" s="1"/>
      <c r="L516" s="1"/>
    </row>
    <row r="517" spans="8:12" x14ac:dyDescent="0.3">
      <c r="H517" s="2"/>
      <c r="I517" s="1"/>
      <c r="J517" s="1"/>
      <c r="K517" s="1"/>
      <c r="L517" s="1"/>
    </row>
    <row r="518" spans="8:12" x14ac:dyDescent="0.3">
      <c r="H518" s="2"/>
      <c r="I518" s="1"/>
      <c r="J518" s="1"/>
      <c r="K518" s="1"/>
      <c r="L518" s="1"/>
    </row>
    <row r="519" spans="8:12" x14ac:dyDescent="0.3">
      <c r="H519" s="2"/>
      <c r="I519" s="1"/>
      <c r="J519" s="1"/>
      <c r="K519" s="1"/>
      <c r="L519" s="1"/>
    </row>
    <row r="520" spans="8:12" x14ac:dyDescent="0.3">
      <c r="H520" s="2"/>
      <c r="I520" s="1"/>
      <c r="J520" s="1"/>
      <c r="K520" s="1"/>
      <c r="L520" s="1"/>
    </row>
    <row r="521" spans="8:12" x14ac:dyDescent="0.3">
      <c r="H521" s="2"/>
      <c r="I521" s="1"/>
      <c r="J521" s="1"/>
      <c r="K521" s="1"/>
      <c r="L521" s="1"/>
    </row>
    <row r="522" spans="8:12" x14ac:dyDescent="0.3">
      <c r="H522" s="2"/>
      <c r="I522" s="1"/>
      <c r="J522" s="1"/>
      <c r="K522" s="1"/>
      <c r="L522" s="1"/>
    </row>
    <row r="523" spans="8:12" x14ac:dyDescent="0.3">
      <c r="H523" s="2"/>
      <c r="I523" s="1"/>
      <c r="J523" s="1"/>
      <c r="K523" s="1"/>
      <c r="L523" s="1"/>
    </row>
    <row r="524" spans="8:12" x14ac:dyDescent="0.3">
      <c r="H524" s="2"/>
      <c r="I524" s="1"/>
      <c r="J524" s="1"/>
      <c r="K524" s="1"/>
      <c r="L524" s="1"/>
    </row>
    <row r="525" spans="8:12" x14ac:dyDescent="0.3">
      <c r="H525" s="2"/>
      <c r="I525" s="4"/>
      <c r="J525" s="4"/>
      <c r="K525" s="4"/>
      <c r="L525" s="4"/>
    </row>
  </sheetData>
  <phoneticPr fontId="2"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3D41C-54E1-4BC7-A43C-26409460CB2D}">
  <dimension ref="A1:M55"/>
  <sheetViews>
    <sheetView topLeftCell="F2" workbookViewId="0">
      <selection activeCell="L21" sqref="L21"/>
    </sheetView>
  </sheetViews>
  <sheetFormatPr defaultRowHeight="14.4" x14ac:dyDescent="0.3"/>
  <cols>
    <col min="1" max="1" width="12.44140625" bestFit="1" customWidth="1"/>
    <col min="2" max="2" width="11.5546875" bestFit="1" customWidth="1"/>
    <col min="10" max="11" width="11.5546875" bestFit="1" customWidth="1"/>
    <col min="12" max="12" width="14.21875" bestFit="1" customWidth="1"/>
    <col min="13" max="13" width="15.109375" bestFit="1" customWidth="1"/>
  </cols>
  <sheetData>
    <row r="1" spans="1:11" x14ac:dyDescent="0.3">
      <c r="A1" s="5" t="s">
        <v>588</v>
      </c>
      <c r="B1" t="s">
        <v>590</v>
      </c>
      <c r="J1" s="5" t="s">
        <v>588</v>
      </c>
      <c r="K1" t="s">
        <v>590</v>
      </c>
    </row>
    <row r="2" spans="1:11" x14ac:dyDescent="0.3">
      <c r="A2" s="6" t="s">
        <v>21</v>
      </c>
      <c r="B2" s="7">
        <v>6149500</v>
      </c>
      <c r="J2" s="6" t="s">
        <v>56</v>
      </c>
      <c r="K2" s="7">
        <v>1870000</v>
      </c>
    </row>
    <row r="3" spans="1:11" x14ac:dyDescent="0.3">
      <c r="A3" s="6" t="s">
        <v>589</v>
      </c>
      <c r="B3" s="7">
        <v>6149500</v>
      </c>
      <c r="J3" s="6" t="s">
        <v>574</v>
      </c>
      <c r="K3" s="7">
        <v>1190000</v>
      </c>
    </row>
    <row r="4" spans="1:11" x14ac:dyDescent="0.3">
      <c r="J4" s="6" t="s">
        <v>549</v>
      </c>
      <c r="K4" s="7">
        <v>800000</v>
      </c>
    </row>
    <row r="5" spans="1:11" x14ac:dyDescent="0.3">
      <c r="J5" s="6" t="s">
        <v>570</v>
      </c>
      <c r="K5" s="7">
        <v>600000</v>
      </c>
    </row>
    <row r="6" spans="1:11" x14ac:dyDescent="0.3">
      <c r="J6" s="6" t="s">
        <v>61</v>
      </c>
      <c r="K6" s="7">
        <v>364000</v>
      </c>
    </row>
    <row r="7" spans="1:11" x14ac:dyDescent="0.3">
      <c r="J7" s="6" t="s">
        <v>578</v>
      </c>
      <c r="K7" s="7">
        <v>336000</v>
      </c>
    </row>
    <row r="8" spans="1:11" x14ac:dyDescent="0.3">
      <c r="J8" s="6" t="s">
        <v>586</v>
      </c>
      <c r="K8" s="7">
        <v>234000</v>
      </c>
    </row>
    <row r="9" spans="1:11" x14ac:dyDescent="0.3">
      <c r="J9" s="6" t="s">
        <v>30</v>
      </c>
      <c r="K9" s="7">
        <v>168000</v>
      </c>
    </row>
    <row r="10" spans="1:11" x14ac:dyDescent="0.3">
      <c r="A10" s="5" t="s">
        <v>588</v>
      </c>
      <c r="B10" t="s">
        <v>590</v>
      </c>
      <c r="J10" s="6" t="s">
        <v>572</v>
      </c>
      <c r="K10" s="7">
        <v>80000</v>
      </c>
    </row>
    <row r="11" spans="1:11" x14ac:dyDescent="0.3">
      <c r="A11" s="6" t="s">
        <v>548</v>
      </c>
      <c r="B11" s="7">
        <v>2640000</v>
      </c>
      <c r="J11" s="6" t="s">
        <v>32</v>
      </c>
      <c r="K11" s="7">
        <v>64800</v>
      </c>
    </row>
    <row r="12" spans="1:11" x14ac:dyDescent="0.3">
      <c r="A12" s="6" t="s">
        <v>28</v>
      </c>
      <c r="B12" s="7">
        <v>2190700</v>
      </c>
      <c r="J12" s="6" t="s">
        <v>589</v>
      </c>
      <c r="K12" s="7">
        <v>5706800</v>
      </c>
    </row>
    <row r="13" spans="1:11" x14ac:dyDescent="0.3">
      <c r="A13" s="6" t="s">
        <v>553</v>
      </c>
      <c r="B13" s="7">
        <v>637900</v>
      </c>
    </row>
    <row r="14" spans="1:11" x14ac:dyDescent="0.3">
      <c r="A14" s="6" t="s">
        <v>27</v>
      </c>
      <c r="B14" s="7">
        <v>538500</v>
      </c>
    </row>
    <row r="15" spans="1:11" x14ac:dyDescent="0.3">
      <c r="A15" s="6" t="s">
        <v>551</v>
      </c>
      <c r="B15" s="7">
        <v>115300</v>
      </c>
    </row>
    <row r="16" spans="1:11" x14ac:dyDescent="0.3">
      <c r="A16" s="6" t="s">
        <v>560</v>
      </c>
      <c r="B16" s="7">
        <v>27100</v>
      </c>
    </row>
    <row r="17" spans="1:13" x14ac:dyDescent="0.3">
      <c r="A17" s="6" t="s">
        <v>589</v>
      </c>
      <c r="B17" s="7">
        <v>6149500</v>
      </c>
    </row>
    <row r="20" spans="1:13" x14ac:dyDescent="0.3">
      <c r="A20" s="5" t="s">
        <v>588</v>
      </c>
      <c r="B20" t="s">
        <v>590</v>
      </c>
      <c r="J20" t="s">
        <v>590</v>
      </c>
      <c r="K20" t="s">
        <v>603</v>
      </c>
      <c r="L20" t="s">
        <v>604</v>
      </c>
      <c r="M20" t="s">
        <v>605</v>
      </c>
    </row>
    <row r="21" spans="1:13" x14ac:dyDescent="0.3">
      <c r="A21" s="6" t="s">
        <v>591</v>
      </c>
      <c r="B21" s="7">
        <v>195550</v>
      </c>
      <c r="J21" s="7">
        <v>6149500</v>
      </c>
      <c r="K21" s="7">
        <v>1407486</v>
      </c>
      <c r="L21" s="8">
        <v>591</v>
      </c>
      <c r="M21" s="8">
        <v>129</v>
      </c>
    </row>
    <row r="22" spans="1:13" x14ac:dyDescent="0.3">
      <c r="A22" s="6" t="s">
        <v>592</v>
      </c>
      <c r="B22" s="7">
        <v>737000</v>
      </c>
    </row>
    <row r="23" spans="1:13" x14ac:dyDescent="0.3">
      <c r="A23" s="6" t="s">
        <v>593</v>
      </c>
      <c r="B23" s="7">
        <v>359000</v>
      </c>
    </row>
    <row r="24" spans="1:13" x14ac:dyDescent="0.3">
      <c r="A24" s="6" t="s">
        <v>594</v>
      </c>
      <c r="B24" s="7">
        <v>839650</v>
      </c>
    </row>
    <row r="25" spans="1:13" x14ac:dyDescent="0.3">
      <c r="A25" s="6" t="s">
        <v>595</v>
      </c>
      <c r="B25" s="7">
        <v>457150</v>
      </c>
    </row>
    <row r="26" spans="1:13" x14ac:dyDescent="0.3">
      <c r="A26" s="6" t="s">
        <v>596</v>
      </c>
      <c r="B26" s="7">
        <v>514200</v>
      </c>
    </row>
    <row r="27" spans="1:13" x14ac:dyDescent="0.3">
      <c r="A27" s="6" t="s">
        <v>597</v>
      </c>
      <c r="B27" s="7">
        <v>680500</v>
      </c>
    </row>
    <row r="28" spans="1:13" x14ac:dyDescent="0.3">
      <c r="A28" s="6" t="s">
        <v>598</v>
      </c>
      <c r="B28" s="7">
        <v>801450</v>
      </c>
    </row>
    <row r="29" spans="1:13" x14ac:dyDescent="0.3">
      <c r="A29" s="6" t="s">
        <v>599</v>
      </c>
      <c r="B29" s="7">
        <v>63500</v>
      </c>
    </row>
    <row r="30" spans="1:13" x14ac:dyDescent="0.3">
      <c r="A30" s="6" t="s">
        <v>600</v>
      </c>
      <c r="B30" s="7">
        <v>963200</v>
      </c>
    </row>
    <row r="31" spans="1:13" x14ac:dyDescent="0.3">
      <c r="A31" s="6" t="s">
        <v>601</v>
      </c>
      <c r="B31" s="7">
        <v>174450</v>
      </c>
    </row>
    <row r="32" spans="1:13" x14ac:dyDescent="0.3">
      <c r="A32" s="6" t="s">
        <v>602</v>
      </c>
      <c r="B32" s="7">
        <v>363850</v>
      </c>
    </row>
    <row r="33" spans="1:2" x14ac:dyDescent="0.3">
      <c r="A33" s="6" t="s">
        <v>589</v>
      </c>
      <c r="B33" s="7">
        <v>6149500</v>
      </c>
    </row>
    <row r="35" spans="1:2" x14ac:dyDescent="0.3">
      <c r="A35" s="5" t="s">
        <v>588</v>
      </c>
      <c r="B35" t="s">
        <v>603</v>
      </c>
    </row>
    <row r="36" spans="1:2" x14ac:dyDescent="0.3">
      <c r="A36" s="6" t="s">
        <v>21</v>
      </c>
      <c r="B36" s="7">
        <v>1407486</v>
      </c>
    </row>
    <row r="37" spans="1:2" x14ac:dyDescent="0.3">
      <c r="A37" s="6" t="s">
        <v>589</v>
      </c>
      <c r="B37" s="7">
        <v>1407486</v>
      </c>
    </row>
    <row r="50" spans="1:2" x14ac:dyDescent="0.3">
      <c r="A50" s="5" t="s">
        <v>588</v>
      </c>
      <c r="B50" t="s">
        <v>590</v>
      </c>
    </row>
    <row r="51" spans="1:2" x14ac:dyDescent="0.3">
      <c r="A51" s="6" t="s">
        <v>25</v>
      </c>
      <c r="B51" s="7">
        <v>1804500</v>
      </c>
    </row>
    <row r="52" spans="1:2" x14ac:dyDescent="0.3">
      <c r="A52" s="6" t="s">
        <v>559</v>
      </c>
      <c r="B52" s="7">
        <v>1708100</v>
      </c>
    </row>
    <row r="53" spans="1:2" x14ac:dyDescent="0.3">
      <c r="A53" s="6" t="s">
        <v>562</v>
      </c>
      <c r="B53" s="7">
        <v>1650150</v>
      </c>
    </row>
    <row r="54" spans="1:2" x14ac:dyDescent="0.3">
      <c r="A54" s="6" t="s">
        <v>24</v>
      </c>
      <c r="B54" s="7">
        <v>986750</v>
      </c>
    </row>
    <row r="55" spans="1:2" x14ac:dyDescent="0.3">
      <c r="A55" s="6" t="s">
        <v>589</v>
      </c>
      <c r="B55" s="7">
        <v>6149500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C0221-F5D9-416A-9955-A613381FD577}">
  <dimension ref="A1:Q65"/>
  <sheetViews>
    <sheetView tabSelected="1" topLeftCell="A11" zoomScale="56" workbookViewId="0">
      <selection sqref="A1:Q65"/>
    </sheetView>
  </sheetViews>
  <sheetFormatPr defaultRowHeight="14.4" x14ac:dyDescent="0.3"/>
  <cols>
    <col min="3" max="3" width="10.21875" customWidth="1"/>
    <col min="5" max="5" width="11.21875" customWidth="1"/>
    <col min="7" max="7" width="10.5546875" customWidth="1"/>
    <col min="9" max="9" width="11.44140625" customWidth="1"/>
  </cols>
  <sheetData>
    <row r="1" spans="1:17" x14ac:dyDescent="0.3">
      <c r="A1" s="9"/>
      <c r="B1" s="10" t="s">
        <v>606</v>
      </c>
      <c r="C1" s="11"/>
      <c r="D1" s="11"/>
      <c r="E1" s="11"/>
      <c r="F1" s="11"/>
      <c r="G1" s="11"/>
      <c r="H1" s="11"/>
      <c r="I1" s="12"/>
      <c r="J1" s="9"/>
      <c r="K1" s="9"/>
      <c r="L1" s="9"/>
      <c r="M1" s="9"/>
      <c r="N1" s="9"/>
      <c r="O1" s="9"/>
      <c r="P1" s="9"/>
      <c r="Q1" s="9"/>
    </row>
    <row r="2" spans="1:17" x14ac:dyDescent="0.3">
      <c r="A2" s="9"/>
      <c r="B2" s="13"/>
      <c r="C2" s="14"/>
      <c r="D2" s="14"/>
      <c r="E2" s="14"/>
      <c r="F2" s="14"/>
      <c r="G2" s="14"/>
      <c r="H2" s="14"/>
      <c r="I2" s="15"/>
      <c r="J2" s="9"/>
      <c r="K2" s="9"/>
      <c r="L2" s="9"/>
      <c r="M2" s="9"/>
      <c r="N2" s="9"/>
      <c r="O2" s="9"/>
      <c r="P2" s="9"/>
      <c r="Q2" s="9"/>
    </row>
    <row r="3" spans="1:17" x14ac:dyDescent="0.3">
      <c r="A3" s="9"/>
      <c r="B3" s="13"/>
      <c r="C3" s="14"/>
      <c r="D3" s="14"/>
      <c r="E3" s="14"/>
      <c r="F3" s="14"/>
      <c r="G3" s="14"/>
      <c r="H3" s="14"/>
      <c r="I3" s="15"/>
      <c r="J3" s="9"/>
      <c r="K3" s="9"/>
      <c r="L3" s="9"/>
      <c r="M3" s="9"/>
      <c r="N3" s="9"/>
      <c r="O3" s="9"/>
      <c r="P3" s="9"/>
      <c r="Q3" s="9"/>
    </row>
    <row r="4" spans="1:17" x14ac:dyDescent="0.3">
      <c r="A4" s="9"/>
      <c r="B4" s="16" t="s">
        <v>611</v>
      </c>
      <c r="C4" s="17"/>
      <c r="D4" s="17"/>
      <c r="E4" s="17"/>
      <c r="F4" s="17"/>
      <c r="G4" s="17"/>
      <c r="H4" s="17"/>
      <c r="I4" s="18"/>
      <c r="J4" s="9"/>
      <c r="K4" s="9"/>
      <c r="L4" s="9"/>
      <c r="M4" s="9"/>
      <c r="N4" s="9"/>
      <c r="O4" s="9"/>
      <c r="P4" s="9"/>
      <c r="Q4" s="9"/>
    </row>
    <row r="5" spans="1:17" x14ac:dyDescent="0.3">
      <c r="A5" s="9"/>
      <c r="B5" s="19" t="s">
        <v>607</v>
      </c>
      <c r="C5" s="20"/>
      <c r="D5" s="19" t="s">
        <v>608</v>
      </c>
      <c r="E5" s="21"/>
      <c r="F5" s="19" t="s">
        <v>609</v>
      </c>
      <c r="G5" s="21"/>
      <c r="H5" s="19" t="s">
        <v>610</v>
      </c>
      <c r="I5" s="21"/>
      <c r="J5" s="9"/>
      <c r="K5" s="9"/>
      <c r="L5" s="9"/>
      <c r="M5" s="9"/>
      <c r="N5" s="9"/>
      <c r="O5" s="9"/>
      <c r="P5" s="9"/>
      <c r="Q5" s="9"/>
    </row>
    <row r="6" spans="1:17" x14ac:dyDescent="0.3">
      <c r="A6" s="9"/>
      <c r="B6" s="22"/>
      <c r="C6" s="23"/>
      <c r="D6" s="24"/>
      <c r="E6" s="25"/>
      <c r="F6" s="24"/>
      <c r="G6" s="25"/>
      <c r="H6" s="24"/>
      <c r="I6" s="25"/>
      <c r="J6" s="9"/>
      <c r="K6" s="9"/>
      <c r="L6" s="9"/>
      <c r="M6" s="9"/>
      <c r="N6" s="9"/>
      <c r="O6" s="9"/>
      <c r="P6" s="9"/>
      <c r="Q6" s="9"/>
    </row>
    <row r="7" spans="1:17" x14ac:dyDescent="0.3">
      <c r="A7" s="9"/>
      <c r="B7" s="26"/>
      <c r="C7" s="27"/>
      <c r="D7" s="28"/>
      <c r="E7" s="29"/>
      <c r="F7" s="28"/>
      <c r="G7" s="29"/>
      <c r="H7" s="28"/>
      <c r="I7" s="29"/>
      <c r="J7" s="9"/>
      <c r="K7" s="9"/>
      <c r="L7" s="9"/>
      <c r="M7" s="9"/>
      <c r="N7" s="9"/>
      <c r="O7" s="9"/>
      <c r="P7" s="9"/>
      <c r="Q7" s="9"/>
    </row>
    <row r="8" spans="1:17" x14ac:dyDescent="0.3">
      <c r="A8" s="9"/>
      <c r="B8" s="30">
        <f>Pivot_Analysis!J21</f>
        <v>6149500</v>
      </c>
      <c r="C8" s="31"/>
      <c r="D8" s="30">
        <f>Pivot_Analysis!K21</f>
        <v>1407486</v>
      </c>
      <c r="E8" s="31"/>
      <c r="F8" s="32">
        <f>Pivot_Analysis!M21</f>
        <v>129</v>
      </c>
      <c r="G8" s="33"/>
      <c r="H8" s="34">
        <f>Pivot_Analysis!L21</f>
        <v>591</v>
      </c>
      <c r="I8" s="33"/>
      <c r="J8" s="9"/>
      <c r="K8" s="9"/>
      <c r="L8" s="9"/>
      <c r="M8" s="9"/>
      <c r="N8" s="9"/>
      <c r="O8" s="9"/>
      <c r="P8" s="9"/>
      <c r="Q8" s="9"/>
    </row>
    <row r="9" spans="1:17" x14ac:dyDescent="0.3">
      <c r="A9" s="9"/>
      <c r="B9" s="35"/>
      <c r="C9" s="36"/>
      <c r="D9" s="35"/>
      <c r="E9" s="36"/>
      <c r="F9" s="37"/>
      <c r="G9" s="38"/>
      <c r="H9" s="37"/>
      <c r="I9" s="38"/>
      <c r="J9" s="9"/>
      <c r="K9" s="9"/>
      <c r="L9" s="9"/>
      <c r="M9" s="9"/>
      <c r="N9" s="9"/>
      <c r="O9" s="9"/>
      <c r="P9" s="9"/>
      <c r="Q9" s="9"/>
    </row>
    <row r="10" spans="1:17" x14ac:dyDescent="0.3">
      <c r="A10" s="9"/>
      <c r="B10" s="39"/>
      <c r="C10" s="40"/>
      <c r="D10" s="40"/>
      <c r="E10" s="40"/>
      <c r="F10" s="40"/>
      <c r="G10" s="40"/>
      <c r="H10" s="40"/>
      <c r="I10" s="15"/>
      <c r="J10" s="9"/>
      <c r="K10" s="9"/>
      <c r="L10" s="9"/>
      <c r="M10" s="9"/>
      <c r="N10" s="9"/>
      <c r="O10" s="9"/>
      <c r="P10" s="9"/>
      <c r="Q10" s="9"/>
    </row>
    <row r="11" spans="1:17" x14ac:dyDescent="0.3">
      <c r="A11" s="9"/>
      <c r="B11" s="39"/>
      <c r="C11" s="40"/>
      <c r="D11" s="40"/>
      <c r="E11" s="40"/>
      <c r="F11" s="40"/>
      <c r="G11" s="40"/>
      <c r="H11" s="40"/>
      <c r="I11" s="15"/>
      <c r="J11" s="9"/>
      <c r="K11" s="9"/>
      <c r="L11" s="9"/>
      <c r="M11" s="9"/>
      <c r="N11" s="9"/>
      <c r="O11" s="9"/>
      <c r="P11" s="9"/>
      <c r="Q11" s="9"/>
    </row>
    <row r="12" spans="1:17" x14ac:dyDescent="0.3">
      <c r="A12" s="9"/>
      <c r="B12" s="39"/>
      <c r="C12" s="40"/>
      <c r="D12" s="40"/>
      <c r="E12" s="40"/>
      <c r="F12" s="40"/>
      <c r="G12" s="40"/>
      <c r="H12" s="40"/>
      <c r="I12" s="15"/>
      <c r="J12" s="9"/>
      <c r="K12" s="9"/>
      <c r="L12" s="9"/>
      <c r="M12" s="9"/>
      <c r="N12" s="9"/>
      <c r="O12" s="9"/>
      <c r="P12" s="9"/>
      <c r="Q12" s="9"/>
    </row>
    <row r="13" spans="1:17" x14ac:dyDescent="0.3">
      <c r="A13" s="9"/>
      <c r="B13" s="39"/>
      <c r="C13" s="40"/>
      <c r="D13" s="40"/>
      <c r="E13" s="40"/>
      <c r="F13" s="40"/>
      <c r="G13" s="40"/>
      <c r="H13" s="40"/>
      <c r="I13" s="15"/>
      <c r="J13" s="9"/>
      <c r="K13" s="9"/>
      <c r="L13" s="9"/>
      <c r="M13" s="9"/>
      <c r="N13" s="9"/>
      <c r="O13" s="9"/>
      <c r="P13" s="9"/>
      <c r="Q13" s="9"/>
    </row>
    <row r="14" spans="1:17" x14ac:dyDescent="0.3">
      <c r="A14" s="9"/>
      <c r="B14" s="39"/>
      <c r="C14" s="40"/>
      <c r="D14" s="40"/>
      <c r="E14" s="40"/>
      <c r="F14" s="40"/>
      <c r="G14" s="40"/>
      <c r="H14" s="40"/>
      <c r="I14" s="15"/>
      <c r="J14" s="9"/>
      <c r="K14" s="9"/>
      <c r="L14" s="9"/>
      <c r="M14" s="9"/>
      <c r="N14" s="9"/>
      <c r="O14" s="9"/>
      <c r="P14" s="9"/>
      <c r="Q14" s="9"/>
    </row>
    <row r="15" spans="1:17" x14ac:dyDescent="0.3">
      <c r="A15" s="9"/>
      <c r="B15" s="39"/>
      <c r="C15" s="40"/>
      <c r="D15" s="40"/>
      <c r="E15" s="40"/>
      <c r="F15" s="40"/>
      <c r="G15" s="40"/>
      <c r="H15" s="40"/>
      <c r="I15" s="15"/>
      <c r="J15" s="9"/>
      <c r="K15" s="9"/>
      <c r="L15" s="9"/>
      <c r="M15" s="9"/>
      <c r="N15" s="9"/>
      <c r="O15" s="9"/>
      <c r="P15" s="9"/>
      <c r="Q15" s="9"/>
    </row>
    <row r="16" spans="1:17" x14ac:dyDescent="0.3">
      <c r="A16" s="9"/>
      <c r="B16" s="39"/>
      <c r="C16" s="40"/>
      <c r="D16" s="40"/>
      <c r="E16" s="40"/>
      <c r="F16" s="40"/>
      <c r="G16" s="40"/>
      <c r="H16" s="40"/>
      <c r="I16" s="15"/>
      <c r="J16" s="9"/>
      <c r="K16" s="9"/>
      <c r="L16" s="9"/>
      <c r="M16" s="9"/>
      <c r="N16" s="9"/>
      <c r="O16" s="9"/>
      <c r="P16" s="9"/>
      <c r="Q16" s="9"/>
    </row>
    <row r="17" spans="1:17" x14ac:dyDescent="0.3">
      <c r="A17" s="9"/>
      <c r="B17" s="39"/>
      <c r="C17" s="40"/>
      <c r="D17" s="40"/>
      <c r="E17" s="40"/>
      <c r="F17" s="40"/>
      <c r="G17" s="40"/>
      <c r="H17" s="40"/>
      <c r="I17" s="15"/>
      <c r="J17" s="9"/>
      <c r="K17" s="9"/>
      <c r="L17" s="9"/>
      <c r="M17" s="9"/>
      <c r="N17" s="9"/>
      <c r="O17" s="9"/>
      <c r="P17" s="9"/>
      <c r="Q17" s="9"/>
    </row>
    <row r="18" spans="1:17" x14ac:dyDescent="0.3">
      <c r="A18" s="9"/>
      <c r="B18" s="39"/>
      <c r="C18" s="40"/>
      <c r="D18" s="40"/>
      <c r="E18" s="40"/>
      <c r="F18" s="40"/>
      <c r="G18" s="40"/>
      <c r="H18" s="40"/>
      <c r="I18" s="15"/>
      <c r="J18" s="9"/>
      <c r="K18" s="9"/>
      <c r="L18" s="9"/>
      <c r="M18" s="9"/>
      <c r="N18" s="9"/>
      <c r="O18" s="9"/>
      <c r="P18" s="9"/>
      <c r="Q18" s="9"/>
    </row>
    <row r="19" spans="1:17" x14ac:dyDescent="0.3">
      <c r="A19" s="9"/>
      <c r="B19" s="39"/>
      <c r="C19" s="40"/>
      <c r="D19" s="40"/>
      <c r="E19" s="40"/>
      <c r="F19" s="40"/>
      <c r="G19" s="40"/>
      <c r="H19" s="40"/>
      <c r="I19" s="15"/>
      <c r="J19" s="9"/>
      <c r="K19" s="9"/>
      <c r="L19" s="9"/>
      <c r="M19" s="9"/>
      <c r="N19" s="9"/>
      <c r="O19" s="9"/>
      <c r="P19" s="9"/>
      <c r="Q19" s="9"/>
    </row>
    <row r="20" spans="1:17" x14ac:dyDescent="0.3">
      <c r="A20" s="9"/>
      <c r="B20" s="39"/>
      <c r="C20" s="40"/>
      <c r="D20" s="40"/>
      <c r="E20" s="40"/>
      <c r="F20" s="40"/>
      <c r="G20" s="40"/>
      <c r="H20" s="40"/>
      <c r="I20" s="15"/>
      <c r="J20" s="9"/>
      <c r="K20" s="9"/>
      <c r="L20" s="9"/>
      <c r="M20" s="9"/>
      <c r="N20" s="9"/>
      <c r="O20" s="9"/>
      <c r="P20" s="9"/>
      <c r="Q20" s="9"/>
    </row>
    <row r="21" spans="1:17" x14ac:dyDescent="0.3">
      <c r="A21" s="9"/>
      <c r="B21" s="39"/>
      <c r="C21" s="40"/>
      <c r="D21" s="40"/>
      <c r="E21" s="40"/>
      <c r="F21" s="40"/>
      <c r="G21" s="40"/>
      <c r="H21" s="40"/>
      <c r="I21" s="15"/>
      <c r="J21" s="9"/>
      <c r="K21" s="9"/>
      <c r="L21" s="9"/>
      <c r="M21" s="9"/>
      <c r="N21" s="9"/>
      <c r="O21" s="9"/>
      <c r="P21" s="9"/>
      <c r="Q21" s="9"/>
    </row>
    <row r="22" spans="1:17" x14ac:dyDescent="0.3">
      <c r="A22" s="9"/>
      <c r="B22" s="39"/>
      <c r="C22" s="40"/>
      <c r="D22" s="40"/>
      <c r="E22" s="40"/>
      <c r="F22" s="40"/>
      <c r="G22" s="40"/>
      <c r="H22" s="40"/>
      <c r="I22" s="15"/>
      <c r="J22" s="9"/>
      <c r="K22" s="9"/>
      <c r="L22" s="9"/>
      <c r="M22" s="9"/>
      <c r="N22" s="9"/>
      <c r="O22" s="9"/>
      <c r="P22" s="9"/>
      <c r="Q22" s="9"/>
    </row>
    <row r="23" spans="1:17" x14ac:dyDescent="0.3">
      <c r="A23" s="9"/>
      <c r="B23" s="39"/>
      <c r="C23" s="40"/>
      <c r="D23" s="40"/>
      <c r="E23" s="40"/>
      <c r="F23" s="40"/>
      <c r="G23" s="40"/>
      <c r="H23" s="40"/>
      <c r="I23" s="15"/>
      <c r="J23" s="9"/>
      <c r="K23" s="9"/>
      <c r="L23" s="9"/>
      <c r="M23" s="9"/>
      <c r="N23" s="9"/>
      <c r="O23" s="9"/>
      <c r="P23" s="9"/>
      <c r="Q23" s="9"/>
    </row>
    <row r="24" spans="1:17" x14ac:dyDescent="0.3">
      <c r="A24" s="9"/>
      <c r="B24" s="39"/>
      <c r="C24" s="40"/>
      <c r="D24" s="40"/>
      <c r="E24" s="40"/>
      <c r="F24" s="40"/>
      <c r="G24" s="40"/>
      <c r="H24" s="40"/>
      <c r="I24" s="15"/>
      <c r="J24" s="9"/>
      <c r="K24" s="9"/>
      <c r="L24" s="9"/>
      <c r="M24" s="9"/>
      <c r="N24" s="9"/>
      <c r="O24" s="9"/>
      <c r="P24" s="9"/>
      <c r="Q24" s="9"/>
    </row>
    <row r="25" spans="1:17" x14ac:dyDescent="0.3">
      <c r="A25" s="9"/>
      <c r="B25" s="39"/>
      <c r="C25" s="40"/>
      <c r="D25" s="40"/>
      <c r="E25" s="40"/>
      <c r="F25" s="40"/>
      <c r="G25" s="40"/>
      <c r="H25" s="40"/>
      <c r="I25" s="15"/>
      <c r="J25" s="9"/>
      <c r="K25" s="9"/>
      <c r="L25" s="9"/>
      <c r="M25" s="9"/>
      <c r="N25" s="9"/>
      <c r="O25" s="9"/>
      <c r="P25" s="9"/>
      <c r="Q25" s="9"/>
    </row>
    <row r="26" spans="1:17" x14ac:dyDescent="0.3">
      <c r="A26" s="9"/>
      <c r="B26" s="39"/>
      <c r="C26" s="40"/>
      <c r="D26" s="40"/>
      <c r="E26" s="40"/>
      <c r="F26" s="40"/>
      <c r="G26" s="40"/>
      <c r="H26" s="40"/>
      <c r="I26" s="15"/>
      <c r="J26" s="9"/>
      <c r="K26" s="9"/>
      <c r="L26" s="9"/>
      <c r="M26" s="9"/>
      <c r="N26" s="9"/>
      <c r="O26" s="9"/>
      <c r="P26" s="9"/>
      <c r="Q26" s="9"/>
    </row>
    <row r="27" spans="1:17" x14ac:dyDescent="0.3">
      <c r="A27" s="9"/>
      <c r="B27" s="39"/>
      <c r="C27" s="40"/>
      <c r="D27" s="40"/>
      <c r="E27" s="40"/>
      <c r="F27" s="40"/>
      <c r="G27" s="40"/>
      <c r="H27" s="40"/>
      <c r="I27" s="15"/>
      <c r="J27" s="9"/>
      <c r="K27" s="9"/>
      <c r="L27" s="9"/>
      <c r="M27" s="9"/>
      <c r="N27" s="9"/>
      <c r="O27" s="9"/>
      <c r="P27" s="9"/>
      <c r="Q27" s="9"/>
    </row>
    <row r="28" spans="1:17" x14ac:dyDescent="0.3">
      <c r="A28" s="9"/>
      <c r="B28" s="39"/>
      <c r="C28" s="40"/>
      <c r="D28" s="40"/>
      <c r="E28" s="40"/>
      <c r="F28" s="40"/>
      <c r="G28" s="40"/>
      <c r="H28" s="40"/>
      <c r="I28" s="15"/>
      <c r="J28" s="9"/>
      <c r="K28" s="9"/>
      <c r="L28" s="9"/>
      <c r="M28" s="9"/>
      <c r="N28" s="9"/>
      <c r="O28" s="9"/>
      <c r="P28" s="9"/>
      <c r="Q28" s="9"/>
    </row>
    <row r="29" spans="1:17" x14ac:dyDescent="0.3">
      <c r="A29" s="9"/>
      <c r="B29" s="39"/>
      <c r="C29" s="40"/>
      <c r="D29" s="40"/>
      <c r="E29" s="40"/>
      <c r="F29" s="40"/>
      <c r="G29" s="40"/>
      <c r="H29" s="40"/>
      <c r="I29" s="15"/>
      <c r="J29" s="9"/>
      <c r="K29" s="9"/>
      <c r="L29" s="9"/>
      <c r="M29" s="9"/>
      <c r="N29" s="9"/>
      <c r="O29" s="9"/>
      <c r="P29" s="9"/>
      <c r="Q29" s="9"/>
    </row>
    <row r="30" spans="1:17" x14ac:dyDescent="0.3">
      <c r="A30" s="9"/>
      <c r="B30" s="39"/>
      <c r="C30" s="40"/>
      <c r="D30" s="40"/>
      <c r="E30" s="40"/>
      <c r="F30" s="40"/>
      <c r="G30" s="40"/>
      <c r="H30" s="40"/>
      <c r="I30" s="15"/>
      <c r="J30" s="9"/>
      <c r="K30" s="9"/>
      <c r="L30" s="9"/>
      <c r="M30" s="9"/>
      <c r="N30" s="9"/>
      <c r="O30" s="9"/>
      <c r="P30" s="9"/>
      <c r="Q30" s="9"/>
    </row>
    <row r="31" spans="1:17" x14ac:dyDescent="0.3">
      <c r="A31" s="9"/>
      <c r="B31" s="39"/>
      <c r="C31" s="40"/>
      <c r="D31" s="40"/>
      <c r="E31" s="40"/>
      <c r="F31" s="40"/>
      <c r="G31" s="40"/>
      <c r="H31" s="40"/>
      <c r="I31" s="15"/>
      <c r="J31" s="9"/>
      <c r="K31" s="9"/>
      <c r="L31" s="9"/>
      <c r="M31" s="9"/>
      <c r="N31" s="9"/>
      <c r="O31" s="9"/>
      <c r="P31" s="9"/>
      <c r="Q31" s="9"/>
    </row>
    <row r="32" spans="1:17" x14ac:dyDescent="0.3">
      <c r="A32" s="9"/>
      <c r="B32" s="39"/>
      <c r="C32" s="40"/>
      <c r="D32" s="40"/>
      <c r="E32" s="40"/>
      <c r="F32" s="40"/>
      <c r="G32" s="40"/>
      <c r="H32" s="40"/>
      <c r="I32" s="15"/>
      <c r="J32" s="9"/>
      <c r="K32" s="9"/>
      <c r="L32" s="9"/>
      <c r="M32" s="9"/>
      <c r="N32" s="9"/>
      <c r="O32" s="9"/>
      <c r="P32" s="9"/>
      <c r="Q32" s="9"/>
    </row>
    <row r="33" spans="1:17" x14ac:dyDescent="0.3">
      <c r="A33" s="9"/>
      <c r="B33" s="39"/>
      <c r="C33" s="40"/>
      <c r="D33" s="40"/>
      <c r="E33" s="40"/>
      <c r="F33" s="40"/>
      <c r="G33" s="40"/>
      <c r="H33" s="40"/>
      <c r="I33" s="15"/>
      <c r="J33" s="9"/>
      <c r="K33" s="9"/>
      <c r="L33" s="9"/>
      <c r="M33" s="9"/>
      <c r="N33" s="9"/>
      <c r="O33" s="9"/>
      <c r="P33" s="9"/>
      <c r="Q33" s="9"/>
    </row>
    <row r="34" spans="1:17" x14ac:dyDescent="0.3">
      <c r="A34" s="9"/>
      <c r="B34" s="39"/>
      <c r="C34" s="40"/>
      <c r="D34" s="40"/>
      <c r="E34" s="40"/>
      <c r="F34" s="40"/>
      <c r="G34" s="40"/>
      <c r="H34" s="40"/>
      <c r="I34" s="15"/>
      <c r="J34" s="9"/>
      <c r="K34" s="9"/>
      <c r="L34" s="9"/>
      <c r="M34" s="9"/>
      <c r="N34" s="9"/>
      <c r="O34" s="9"/>
      <c r="P34" s="9"/>
      <c r="Q34" s="9"/>
    </row>
    <row r="35" spans="1:17" x14ac:dyDescent="0.3">
      <c r="A35" s="9"/>
      <c r="B35" s="39"/>
      <c r="C35" s="40"/>
      <c r="D35" s="40"/>
      <c r="E35" s="40"/>
      <c r="F35" s="40"/>
      <c r="G35" s="40"/>
      <c r="H35" s="40"/>
      <c r="I35" s="15"/>
      <c r="J35" s="9"/>
      <c r="K35" s="9"/>
      <c r="L35" s="9"/>
      <c r="M35" s="9"/>
      <c r="N35" s="9"/>
      <c r="O35" s="9"/>
      <c r="P35" s="9"/>
      <c r="Q35" s="9"/>
    </row>
    <row r="36" spans="1:17" x14ac:dyDescent="0.3">
      <c r="A36" s="9"/>
      <c r="B36" s="39"/>
      <c r="C36" s="40"/>
      <c r="D36" s="40"/>
      <c r="E36" s="40"/>
      <c r="F36" s="40"/>
      <c r="G36" s="40"/>
      <c r="H36" s="40"/>
      <c r="I36" s="15"/>
      <c r="J36" s="9"/>
      <c r="K36" s="9"/>
      <c r="L36" s="9"/>
      <c r="M36" s="9"/>
      <c r="N36" s="9"/>
      <c r="O36" s="9"/>
      <c r="P36" s="9"/>
      <c r="Q36" s="9"/>
    </row>
    <row r="37" spans="1:17" x14ac:dyDescent="0.3">
      <c r="A37" s="9"/>
      <c r="B37" s="39"/>
      <c r="C37" s="40"/>
      <c r="D37" s="40"/>
      <c r="E37" s="40"/>
      <c r="F37" s="40"/>
      <c r="G37" s="40"/>
      <c r="H37" s="40"/>
      <c r="I37" s="15"/>
      <c r="J37" s="9"/>
      <c r="K37" s="9"/>
      <c r="L37" s="9"/>
      <c r="M37" s="9"/>
      <c r="N37" s="9"/>
      <c r="O37" s="9"/>
      <c r="P37" s="9"/>
      <c r="Q37" s="9"/>
    </row>
    <row r="38" spans="1:17" x14ac:dyDescent="0.3">
      <c r="A38" s="9"/>
      <c r="B38" s="39"/>
      <c r="C38" s="40"/>
      <c r="D38" s="40"/>
      <c r="E38" s="40"/>
      <c r="F38" s="40"/>
      <c r="G38" s="40"/>
      <c r="H38" s="40"/>
      <c r="I38" s="15"/>
      <c r="J38" s="9"/>
      <c r="K38" s="9"/>
      <c r="L38" s="9"/>
      <c r="M38" s="9"/>
      <c r="N38" s="9"/>
      <c r="O38" s="9"/>
      <c r="P38" s="9"/>
      <c r="Q38" s="9"/>
    </row>
    <row r="39" spans="1:17" x14ac:dyDescent="0.3">
      <c r="A39" s="9"/>
      <c r="B39" s="39"/>
      <c r="C39" s="40"/>
      <c r="D39" s="40"/>
      <c r="E39" s="40"/>
      <c r="F39" s="40"/>
      <c r="G39" s="40"/>
      <c r="H39" s="40"/>
      <c r="I39" s="15"/>
      <c r="J39" s="9"/>
      <c r="K39" s="9"/>
      <c r="L39" s="9"/>
      <c r="M39" s="9"/>
      <c r="N39" s="9"/>
      <c r="O39" s="9"/>
      <c r="P39" s="9"/>
      <c r="Q39" s="9"/>
    </row>
    <row r="40" spans="1:17" x14ac:dyDescent="0.3">
      <c r="A40" s="9"/>
      <c r="B40" s="39"/>
      <c r="C40" s="40"/>
      <c r="D40" s="40"/>
      <c r="E40" s="40"/>
      <c r="F40" s="40"/>
      <c r="G40" s="40"/>
      <c r="H40" s="40"/>
      <c r="I40" s="15"/>
      <c r="J40" s="9"/>
      <c r="K40" s="9"/>
      <c r="L40" s="9"/>
      <c r="M40" s="9"/>
      <c r="N40" s="9"/>
      <c r="O40" s="9"/>
      <c r="P40" s="9"/>
      <c r="Q40" s="9"/>
    </row>
    <row r="41" spans="1:17" x14ac:dyDescent="0.3">
      <c r="A41" s="9"/>
      <c r="B41" s="39"/>
      <c r="C41" s="40"/>
      <c r="D41" s="40"/>
      <c r="E41" s="40"/>
      <c r="F41" s="40"/>
      <c r="G41" s="40"/>
      <c r="H41" s="40"/>
      <c r="I41" s="15"/>
      <c r="J41" s="9"/>
      <c r="K41" s="9"/>
      <c r="L41" s="9"/>
      <c r="M41" s="9"/>
      <c r="N41" s="9"/>
      <c r="O41" s="9"/>
      <c r="P41" s="9"/>
      <c r="Q41" s="9"/>
    </row>
    <row r="42" spans="1:17" x14ac:dyDescent="0.3">
      <c r="A42" s="9"/>
      <c r="B42" s="39"/>
      <c r="C42" s="40"/>
      <c r="D42" s="40"/>
      <c r="E42" s="40"/>
      <c r="F42" s="40"/>
      <c r="G42" s="40"/>
      <c r="H42" s="40"/>
      <c r="I42" s="15"/>
      <c r="J42" s="9"/>
      <c r="K42" s="9"/>
      <c r="L42" s="9"/>
      <c r="M42" s="9"/>
      <c r="N42" s="9"/>
      <c r="O42" s="9"/>
      <c r="P42" s="9"/>
      <c r="Q42" s="9"/>
    </row>
    <row r="43" spans="1:17" x14ac:dyDescent="0.3">
      <c r="A43" s="9"/>
      <c r="B43" s="39"/>
      <c r="C43" s="40"/>
      <c r="D43" s="40"/>
      <c r="E43" s="40"/>
      <c r="F43" s="40"/>
      <c r="G43" s="40"/>
      <c r="H43" s="40"/>
      <c r="I43" s="15"/>
      <c r="J43" s="9"/>
      <c r="K43" s="9"/>
      <c r="L43" s="9"/>
      <c r="M43" s="9"/>
      <c r="N43" s="9"/>
      <c r="O43" s="9"/>
      <c r="P43" s="9"/>
      <c r="Q43" s="9"/>
    </row>
    <row r="44" spans="1:17" x14ac:dyDescent="0.3">
      <c r="A44" s="9"/>
      <c r="B44" s="39"/>
      <c r="C44" s="40"/>
      <c r="D44" s="40"/>
      <c r="E44" s="40"/>
      <c r="F44" s="40"/>
      <c r="G44" s="40"/>
      <c r="H44" s="40"/>
      <c r="I44" s="15"/>
      <c r="J44" s="9"/>
      <c r="K44" s="9"/>
      <c r="L44" s="9"/>
      <c r="M44" s="9"/>
      <c r="N44" s="9"/>
      <c r="O44" s="9"/>
      <c r="P44" s="9"/>
      <c r="Q44" s="9"/>
    </row>
    <row r="45" spans="1:17" x14ac:dyDescent="0.3">
      <c r="A45" s="9"/>
      <c r="B45" s="39"/>
      <c r="C45" s="40"/>
      <c r="D45" s="40"/>
      <c r="E45" s="40"/>
      <c r="F45" s="40"/>
      <c r="G45" s="40"/>
      <c r="H45" s="40"/>
      <c r="I45" s="15"/>
      <c r="J45" s="9"/>
      <c r="K45" s="9"/>
      <c r="L45" s="9"/>
      <c r="M45" s="9"/>
      <c r="N45" s="9"/>
      <c r="O45" s="9"/>
      <c r="P45" s="9"/>
      <c r="Q45" s="9"/>
    </row>
    <row r="46" spans="1:17" x14ac:dyDescent="0.3">
      <c r="A46" s="9"/>
      <c r="B46" s="39"/>
      <c r="C46" s="40"/>
      <c r="D46" s="40"/>
      <c r="E46" s="40"/>
      <c r="F46" s="40"/>
      <c r="G46" s="40"/>
      <c r="H46" s="40"/>
      <c r="I46" s="15"/>
      <c r="J46" s="9"/>
      <c r="K46" s="9"/>
      <c r="L46" s="9"/>
      <c r="M46" s="9"/>
      <c r="N46" s="9"/>
      <c r="O46" s="9"/>
      <c r="P46" s="9"/>
      <c r="Q46" s="9"/>
    </row>
    <row r="47" spans="1:17" x14ac:dyDescent="0.3">
      <c r="A47" s="9"/>
      <c r="B47" s="39"/>
      <c r="C47" s="40"/>
      <c r="D47" s="40"/>
      <c r="E47" s="40"/>
      <c r="F47" s="40"/>
      <c r="G47" s="40"/>
      <c r="H47" s="40"/>
      <c r="I47" s="15"/>
      <c r="J47" s="9"/>
      <c r="K47" s="9"/>
      <c r="L47" s="9"/>
      <c r="M47" s="9"/>
      <c r="N47" s="9"/>
      <c r="O47" s="9"/>
      <c r="P47" s="9"/>
      <c r="Q47" s="9"/>
    </row>
    <row r="48" spans="1:17" x14ac:dyDescent="0.3">
      <c r="A48" s="9"/>
      <c r="B48" s="39"/>
      <c r="C48" s="40"/>
      <c r="D48" s="40"/>
      <c r="E48" s="40"/>
      <c r="F48" s="40"/>
      <c r="G48" s="40"/>
      <c r="H48" s="40"/>
      <c r="I48" s="15"/>
      <c r="J48" s="9"/>
      <c r="K48" s="9"/>
      <c r="L48" s="9"/>
      <c r="M48" s="9"/>
      <c r="N48" s="9"/>
      <c r="O48" s="9"/>
      <c r="P48" s="9"/>
      <c r="Q48" s="9"/>
    </row>
    <row r="49" spans="1:17" x14ac:dyDescent="0.3">
      <c r="A49" s="9"/>
      <c r="B49" s="39"/>
      <c r="C49" s="40"/>
      <c r="D49" s="40"/>
      <c r="E49" s="40"/>
      <c r="F49" s="40"/>
      <c r="G49" s="40"/>
      <c r="H49" s="40"/>
      <c r="I49" s="15"/>
      <c r="J49" s="9"/>
      <c r="K49" s="9"/>
      <c r="L49" s="9"/>
      <c r="M49" s="9"/>
      <c r="N49" s="9"/>
      <c r="O49" s="9"/>
      <c r="P49" s="9"/>
      <c r="Q49" s="9"/>
    </row>
    <row r="50" spans="1:17" x14ac:dyDescent="0.3">
      <c r="A50" s="9"/>
      <c r="B50" s="39"/>
      <c r="C50" s="40"/>
      <c r="D50" s="40"/>
      <c r="E50" s="40"/>
      <c r="F50" s="40"/>
      <c r="G50" s="40"/>
      <c r="H50" s="40"/>
      <c r="I50" s="15"/>
      <c r="J50" s="9"/>
      <c r="K50" s="9"/>
      <c r="L50" s="9"/>
      <c r="M50" s="9"/>
      <c r="N50" s="9"/>
      <c r="O50" s="9"/>
      <c r="P50" s="9"/>
      <c r="Q50" s="9"/>
    </row>
    <row r="51" spans="1:17" x14ac:dyDescent="0.3">
      <c r="A51" s="9"/>
      <c r="B51" s="39"/>
      <c r="C51" s="40"/>
      <c r="D51" s="40"/>
      <c r="E51" s="40"/>
      <c r="F51" s="40"/>
      <c r="G51" s="40"/>
      <c r="H51" s="40"/>
      <c r="I51" s="15"/>
      <c r="J51" s="9"/>
      <c r="K51" s="9"/>
      <c r="L51" s="9"/>
      <c r="M51" s="9"/>
      <c r="N51" s="9"/>
      <c r="O51" s="9"/>
      <c r="P51" s="9"/>
      <c r="Q51" s="9"/>
    </row>
    <row r="52" spans="1:17" x14ac:dyDescent="0.3">
      <c r="A52" s="9"/>
      <c r="B52" s="39"/>
      <c r="C52" s="40"/>
      <c r="D52" s="40"/>
      <c r="E52" s="40"/>
      <c r="F52" s="40"/>
      <c r="G52" s="40"/>
      <c r="H52" s="40"/>
      <c r="I52" s="15"/>
      <c r="J52" s="9"/>
      <c r="K52" s="9"/>
      <c r="L52" s="9"/>
      <c r="M52" s="9"/>
      <c r="N52" s="9"/>
      <c r="O52" s="9"/>
      <c r="P52" s="9"/>
      <c r="Q52" s="9"/>
    </row>
    <row r="53" spans="1:17" x14ac:dyDescent="0.3">
      <c r="A53" s="9"/>
      <c r="B53" s="39"/>
      <c r="C53" s="40"/>
      <c r="D53" s="40"/>
      <c r="E53" s="40"/>
      <c r="F53" s="40"/>
      <c r="G53" s="40"/>
      <c r="H53" s="40"/>
      <c r="I53" s="15"/>
      <c r="J53" s="9"/>
      <c r="K53" s="9"/>
      <c r="L53" s="9"/>
      <c r="M53" s="9"/>
      <c r="N53" s="9"/>
      <c r="O53" s="9"/>
      <c r="P53" s="9"/>
      <c r="Q53" s="9"/>
    </row>
    <row r="54" spans="1:17" x14ac:dyDescent="0.3">
      <c r="A54" s="9"/>
      <c r="B54" s="39"/>
      <c r="C54" s="40"/>
      <c r="D54" s="40"/>
      <c r="E54" s="40"/>
      <c r="F54" s="40"/>
      <c r="G54" s="40"/>
      <c r="H54" s="40"/>
      <c r="I54" s="15"/>
      <c r="J54" s="9"/>
      <c r="K54" s="9"/>
      <c r="L54" s="9"/>
      <c r="M54" s="9"/>
      <c r="N54" s="9"/>
      <c r="O54" s="9"/>
      <c r="P54" s="9"/>
      <c r="Q54" s="9"/>
    </row>
    <row r="55" spans="1:17" x14ac:dyDescent="0.3">
      <c r="A55" s="9"/>
      <c r="B55" s="41"/>
      <c r="C55" s="42"/>
      <c r="D55" s="42"/>
      <c r="E55" s="42"/>
      <c r="F55" s="42"/>
      <c r="G55" s="42"/>
      <c r="H55" s="42"/>
      <c r="I55" s="43"/>
      <c r="J55" s="9"/>
      <c r="K55" s="9"/>
      <c r="L55" s="9"/>
      <c r="M55" s="9"/>
      <c r="N55" s="9"/>
      <c r="O55" s="9"/>
      <c r="P55" s="9"/>
      <c r="Q55" s="9"/>
    </row>
    <row r="56" spans="1:17" x14ac:dyDescent="0.3">
      <c r="A56" s="9"/>
      <c r="B56" s="9"/>
      <c r="C56" s="9"/>
      <c r="D56" s="9"/>
      <c r="E56" s="9"/>
      <c r="F56" s="9"/>
      <c r="G56" s="9"/>
      <c r="H56" s="9"/>
      <c r="I56" s="9"/>
      <c r="J56" s="9"/>
      <c r="K56" s="9"/>
      <c r="L56" s="9"/>
      <c r="M56" s="9"/>
      <c r="N56" s="9"/>
      <c r="O56" s="9"/>
      <c r="P56" s="9"/>
      <c r="Q56" s="9"/>
    </row>
    <row r="57" spans="1:17" x14ac:dyDescent="0.3">
      <c r="A57" s="9"/>
      <c r="B57" s="9"/>
      <c r="C57" s="9"/>
      <c r="D57" s="9"/>
      <c r="E57" s="9"/>
      <c r="F57" s="9"/>
      <c r="G57" s="9"/>
      <c r="H57" s="9"/>
      <c r="I57" s="9"/>
      <c r="J57" s="9"/>
      <c r="K57" s="9"/>
      <c r="L57" s="9"/>
      <c r="M57" s="9"/>
      <c r="N57" s="9"/>
      <c r="O57" s="9"/>
      <c r="P57" s="9"/>
      <c r="Q57" s="9"/>
    </row>
    <row r="58" spans="1:17" x14ac:dyDescent="0.3">
      <c r="A58" s="9"/>
      <c r="B58" s="9"/>
      <c r="C58" s="9"/>
      <c r="D58" s="9"/>
      <c r="E58" s="9"/>
      <c r="F58" s="9"/>
      <c r="G58" s="9"/>
      <c r="H58" s="9"/>
      <c r="I58" s="9"/>
      <c r="J58" s="9"/>
      <c r="K58" s="9"/>
      <c r="L58" s="9"/>
      <c r="M58" s="9"/>
      <c r="N58" s="9"/>
      <c r="O58" s="9"/>
      <c r="P58" s="9"/>
      <c r="Q58" s="9"/>
    </row>
    <row r="59" spans="1:17" x14ac:dyDescent="0.3">
      <c r="A59" s="9"/>
      <c r="B59" s="9"/>
      <c r="C59" s="9"/>
      <c r="D59" s="9"/>
      <c r="E59" s="9"/>
      <c r="F59" s="9"/>
      <c r="G59" s="9"/>
      <c r="H59" s="9"/>
      <c r="I59" s="9"/>
      <c r="J59" s="9"/>
      <c r="K59" s="9"/>
      <c r="L59" s="9"/>
      <c r="M59" s="9"/>
      <c r="N59" s="9"/>
      <c r="O59" s="9"/>
      <c r="P59" s="9"/>
      <c r="Q59" s="9"/>
    </row>
    <row r="60" spans="1:17" x14ac:dyDescent="0.3">
      <c r="A60" s="9"/>
      <c r="B60" s="9"/>
      <c r="C60" s="9"/>
      <c r="D60" s="9"/>
      <c r="E60" s="9"/>
      <c r="F60" s="9"/>
      <c r="G60" s="9"/>
      <c r="H60" s="9"/>
      <c r="I60" s="9"/>
      <c r="J60" s="9"/>
      <c r="K60" s="9"/>
      <c r="L60" s="9"/>
      <c r="M60" s="9"/>
      <c r="N60" s="9"/>
      <c r="O60" s="9"/>
      <c r="P60" s="9"/>
      <c r="Q60" s="9"/>
    </row>
    <row r="61" spans="1:17" x14ac:dyDescent="0.3">
      <c r="A61" s="9"/>
      <c r="B61" s="9"/>
      <c r="C61" s="9"/>
      <c r="D61" s="9"/>
      <c r="E61" s="9"/>
      <c r="F61" s="9"/>
      <c r="G61" s="9"/>
      <c r="H61" s="9"/>
      <c r="I61" s="9"/>
      <c r="J61" s="9"/>
      <c r="K61" s="9"/>
      <c r="L61" s="9"/>
      <c r="M61" s="9"/>
      <c r="N61" s="9"/>
      <c r="O61" s="9"/>
      <c r="P61" s="9"/>
      <c r="Q61" s="9"/>
    </row>
    <row r="62" spans="1:17" x14ac:dyDescent="0.3">
      <c r="A62" s="9"/>
      <c r="B62" s="9"/>
      <c r="C62" s="9"/>
      <c r="D62" s="9"/>
      <c r="E62" s="9"/>
      <c r="F62" s="9"/>
      <c r="G62" s="9"/>
      <c r="H62" s="9"/>
      <c r="I62" s="9"/>
      <c r="J62" s="9"/>
      <c r="K62" s="9"/>
      <c r="L62" s="9"/>
      <c r="M62" s="9"/>
      <c r="N62" s="9"/>
      <c r="O62" s="9"/>
      <c r="P62" s="9"/>
      <c r="Q62" s="9"/>
    </row>
    <row r="63" spans="1:17" x14ac:dyDescent="0.3">
      <c r="A63" s="9"/>
      <c r="B63" s="9"/>
      <c r="C63" s="9"/>
      <c r="D63" s="9"/>
      <c r="E63" s="9"/>
      <c r="F63" s="9"/>
      <c r="G63" s="9"/>
      <c r="H63" s="9"/>
      <c r="I63" s="9"/>
      <c r="J63" s="9"/>
      <c r="K63" s="9"/>
      <c r="L63" s="9"/>
      <c r="M63" s="9"/>
      <c r="N63" s="9"/>
      <c r="O63" s="9"/>
      <c r="P63" s="9"/>
      <c r="Q63" s="9"/>
    </row>
    <row r="64" spans="1:17" x14ac:dyDescent="0.3">
      <c r="A64" s="9"/>
      <c r="B64" s="9"/>
      <c r="C64" s="9"/>
      <c r="D64" s="9"/>
      <c r="E64" s="9"/>
      <c r="F64" s="9"/>
      <c r="G64" s="9"/>
      <c r="H64" s="9"/>
      <c r="I64" s="9"/>
      <c r="J64" s="9"/>
      <c r="K64" s="9"/>
      <c r="L64" s="9"/>
      <c r="M64" s="9"/>
      <c r="N64" s="9"/>
      <c r="O64" s="9"/>
      <c r="P64" s="9"/>
      <c r="Q64" s="9"/>
    </row>
    <row r="65" spans="1:17" x14ac:dyDescent="0.3">
      <c r="A65" s="9"/>
      <c r="B65" s="9"/>
      <c r="C65" s="9"/>
      <c r="D65" s="9"/>
      <c r="E65" s="9"/>
      <c r="F65" s="9"/>
      <c r="G65" s="9"/>
      <c r="H65" s="9"/>
      <c r="I65" s="9"/>
      <c r="J65" s="9"/>
      <c r="K65" s="9"/>
      <c r="L65" s="9"/>
      <c r="M65" s="9"/>
      <c r="N65" s="9"/>
      <c r="O65" s="9"/>
      <c r="P65" s="9"/>
      <c r="Q65" s="9"/>
    </row>
  </sheetData>
  <mergeCells count="10">
    <mergeCell ref="B1:H3"/>
    <mergeCell ref="B5:C7"/>
    <mergeCell ref="B8:C9"/>
    <mergeCell ref="D5:E7"/>
    <mergeCell ref="D8:E9"/>
    <mergeCell ref="F5:G7"/>
    <mergeCell ref="F8:G9"/>
    <mergeCell ref="H5:I7"/>
    <mergeCell ref="H8:I9"/>
    <mergeCell ref="B4:I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84D55-98BA-4B4B-86A3-CC702F224E6A}">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Pivot_Analysis</vt:lpstr>
      <vt:lpstr>Dashboard</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 mohd hassan</dc:creator>
  <cp:lastModifiedBy>khan mohd hassan</cp:lastModifiedBy>
  <dcterms:created xsi:type="dcterms:W3CDTF">2026-10-05T13:43:03Z</dcterms:created>
  <dcterms:modified xsi:type="dcterms:W3CDTF">2026-10-07T15:58:23Z</dcterms:modified>
</cp:coreProperties>
</file>